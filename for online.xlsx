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defaultThemeVersion="124226"/>
  <mc:AlternateContent xmlns:mc="http://schemas.openxmlformats.org/markup-compatibility/2006">
    <mc:Choice Requires="x15">
      <x15ac:absPath xmlns:x15ac="http://schemas.microsoft.com/office/spreadsheetml/2010/11/ac" url="C:\Users\user\Documents\benoni\2026\"/>
    </mc:Choice>
  </mc:AlternateContent>
  <xr:revisionPtr revIDLastSave="0" documentId="13_ncr:1_{F76CC503-2D8D-4226-B82D-8F0B8486CB7D}" xr6:coauthVersionLast="47" xr6:coauthVersionMax="47" xr10:uidLastSave="{00000000-0000-0000-0000-000000000000}"/>
  <bookViews>
    <workbookView xWindow="-108" yWindow="-108" windowWidth="23256" windowHeight="12456" xr2:uid="{00000000-000D-0000-FFFF-FFFF00000000}"/>
  </bookViews>
  <sheets>
    <sheet name="Parts List" sheetId="1" r:id="rId1"/>
    <sheet name="Sheet3"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R15" i="1" l="1"/>
  <c r="AR84" i="1"/>
  <c r="AR83" i="1"/>
  <c r="AR82" i="1"/>
  <c r="AR81" i="1"/>
  <c r="AR80" i="1"/>
  <c r="AR79" i="1"/>
  <c r="AR86" i="1"/>
  <c r="AR87" i="1"/>
  <c r="AR88" i="1"/>
  <c r="AR89" i="1"/>
  <c r="AR90" i="1" l="1"/>
  <c r="AR124" i="1"/>
  <c r="AR125" i="1"/>
  <c r="AR123" i="1"/>
  <c r="AR122" i="1"/>
  <c r="AR121" i="1"/>
  <c r="AR120" i="1"/>
  <c r="AR118" i="1"/>
  <c r="AR117" i="1"/>
  <c r="AR116" i="1"/>
  <c r="AR115" i="1"/>
  <c r="AR28" i="1"/>
  <c r="AR53" i="1"/>
  <c r="AR6" i="1"/>
  <c r="AR7" i="1"/>
  <c r="AR8" i="1"/>
  <c r="AR9" i="1"/>
  <c r="AR10" i="1"/>
  <c r="AR11" i="1"/>
  <c r="AR12" i="1"/>
  <c r="AR5" i="1"/>
  <c r="AR46" i="1"/>
  <c r="AR47" i="1"/>
  <c r="AR48" i="1"/>
  <c r="AR49" i="1"/>
  <c r="AR50" i="1"/>
  <c r="AR51" i="1"/>
  <c r="AR52" i="1"/>
  <c r="AR54" i="1"/>
  <c r="AR36" i="1"/>
  <c r="AR21" i="1"/>
  <c r="AR20" i="1"/>
  <c r="AR16" i="1"/>
  <c r="AR17" i="1"/>
  <c r="AR18" i="1"/>
  <c r="AR19" i="1"/>
  <c r="AR22" i="1"/>
  <c r="AR23" i="1"/>
  <c r="AR69" i="1" l="1"/>
  <c r="AR70" i="1"/>
  <c r="AR71" i="1"/>
  <c r="AR72" i="1"/>
  <c r="AR73" i="1"/>
  <c r="AR74" i="1"/>
  <c r="AR75" i="1"/>
  <c r="AR76" i="1"/>
  <c r="AR91" i="1" l="1"/>
  <c r="AR92" i="1"/>
  <c r="AR93" i="1"/>
  <c r="AR94" i="1"/>
  <c r="AR68" i="1"/>
  <c r="AR63" i="1"/>
  <c r="AR64" i="1"/>
  <c r="AR62" i="1"/>
  <c r="AR57" i="1"/>
  <c r="AR58" i="1"/>
  <c r="AR56" i="1"/>
  <c r="AR45" i="1"/>
  <c r="AR39" i="1"/>
  <c r="AR40" i="1"/>
  <c r="AR41" i="1"/>
  <c r="AR38" i="1"/>
  <c r="AR26" i="1"/>
  <c r="AR27" i="1"/>
  <c r="AR29" i="1"/>
  <c r="AR30" i="1"/>
  <c r="AR31" i="1"/>
  <c r="AR32" i="1"/>
  <c r="AR33" i="1"/>
  <c r="AR34" i="1"/>
  <c r="AR35" i="1"/>
  <c r="AR25" i="1"/>
  <c r="AR97" i="1"/>
  <c r="AR98" i="1"/>
  <c r="AR99" i="1"/>
  <c r="AR100" i="1"/>
  <c r="AR101" i="1"/>
  <c r="AR102" i="1"/>
  <c r="AR103" i="1"/>
  <c r="AR104" i="1"/>
  <c r="AR105" i="1"/>
  <c r="AR106" i="1"/>
  <c r="AR107" i="1"/>
  <c r="AR108" i="1"/>
  <c r="AR110" i="1"/>
  <c r="AR111" i="1"/>
  <c r="AR112" i="1"/>
  <c r="AR113" i="1"/>
  <c r="AR96" i="1"/>
  <c r="AR14" i="1" l="1"/>
  <c r="AR4"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fitume teklemariam</author>
  </authors>
  <commentList>
    <comment ref="AQ6" authorId="0" shapeId="0" xr:uid="{B3240AED-AF51-40E5-AC16-BCE066F39796}">
      <text>
        <r>
          <rPr>
            <b/>
            <sz val="9"/>
            <color indexed="81"/>
            <rFont val="Tahoma"/>
            <family val="2"/>
          </rPr>
          <t>fitume teklemariam:</t>
        </r>
        <r>
          <rPr>
            <sz val="9"/>
            <color indexed="81"/>
            <rFont val="Tahoma"/>
            <family val="2"/>
          </rPr>
          <t xml:space="preserve">
4493x2, 5410x8, 6089x2, 5412x9, 5422x6, 6220x4, 6321x8, 6341x8</t>
        </r>
      </text>
    </comment>
    <comment ref="L8" authorId="0" shapeId="0" xr:uid="{93D25AAE-3978-4E9D-A456-DB60823700B1}">
      <text>
        <r>
          <rPr>
            <b/>
            <sz val="9"/>
            <color indexed="81"/>
            <rFont val="Tahoma"/>
            <family val="2"/>
          </rPr>
          <t>fitume teklemariam:</t>
        </r>
        <r>
          <rPr>
            <sz val="9"/>
            <color indexed="81"/>
            <rFont val="Tahoma"/>
            <family val="2"/>
          </rPr>
          <t xml:space="preserve">
25225x16, 11625x10, 2632026x50</t>
        </r>
      </text>
    </comment>
    <comment ref="AQ8" authorId="0" shapeId="0" xr:uid="{D9C74CC3-FA41-48A8-9C57-621EE86C3333}">
      <text>
        <r>
          <rPr>
            <b/>
            <sz val="9"/>
            <color indexed="81"/>
            <rFont val="Tahoma"/>
            <family val="2"/>
          </rPr>
          <t>fitume teklemariam:</t>
        </r>
        <r>
          <rPr>
            <sz val="9"/>
            <color indexed="81"/>
            <rFont val="Tahoma"/>
            <family val="2"/>
          </rPr>
          <t xml:space="preserve">
6139x4, 6150x2, 6186x4, 6208x2, 6254x4, 6268x3, 6269x1, 6320x2, 6321x1, 6330x1, 6370x1, 6375x3</t>
        </r>
      </text>
    </comment>
    <comment ref="AQ15" authorId="0" shapeId="0" xr:uid="{47693593-F276-43E4-BC99-CB86F4640E8A}">
      <text>
        <r>
          <rPr>
            <b/>
            <sz val="9"/>
            <color indexed="81"/>
            <rFont val="Tahoma"/>
            <family val="2"/>
          </rPr>
          <t>fitume teklemariam:</t>
        </r>
        <r>
          <rPr>
            <sz val="9"/>
            <color indexed="81"/>
            <rFont val="Tahoma"/>
            <family val="2"/>
          </rPr>
          <t xml:space="preserve">
6082x1, 6089x2, 6132x1, 6211x1, 6245x1, 1x6251, 6257x2, 6280x2, 6303x1, 6308x1, 6333x1, 6341x1, 6370x1</t>
        </r>
      </text>
    </comment>
    <comment ref="AQ16" authorId="0" shapeId="0" xr:uid="{5FA7C206-2F5A-4DD2-AB75-C34F1D042253}">
      <text>
        <r>
          <rPr>
            <b/>
            <sz val="9"/>
            <color indexed="81"/>
            <rFont val="Tahoma"/>
            <family val="2"/>
          </rPr>
          <t>fitume teklemariam:</t>
        </r>
        <r>
          <rPr>
            <sz val="9"/>
            <color indexed="81"/>
            <rFont val="Tahoma"/>
            <family val="2"/>
          </rPr>
          <t xml:space="preserve">
6254x5, 6257x20, 6292x10, 6302x5, 6317x10</t>
        </r>
      </text>
    </comment>
    <comment ref="AQ20" authorId="0" shapeId="0" xr:uid="{792D5623-C17E-4996-A741-25A471988ABD}">
      <text>
        <r>
          <rPr>
            <b/>
            <sz val="9"/>
            <color indexed="81"/>
            <rFont val="Tahoma"/>
            <family val="2"/>
          </rPr>
          <t>fitume teklemariam:</t>
        </r>
        <r>
          <rPr>
            <sz val="9"/>
            <color indexed="81"/>
            <rFont val="Tahoma"/>
            <family val="2"/>
          </rPr>
          <t xml:space="preserve">
5241x1, 5244x2, 5253x1, 5271x1, 5292x4
5311x1, 5343x1, 5368x1, 6002x1 6037x3 6070x1, 6078x2, 6084x1, 5412x2, 5417x4, 6111x1, 6125x1, 5421x4,
6139x1, 6150x2, 6158x1, 
6170x1, 6186x1, 6196x1, 6201x1, 6202x2, 6207x1, 6225x1, 6226x2, 6245x1, 6251x1, 6254x3, 6255x1, 6263x1, 6280x1, 6331x1, 6333x1, 6341x1, 6347x1, 6375x1</t>
        </r>
      </text>
    </comment>
    <comment ref="L71" authorId="0" shapeId="0" xr:uid="{BA3879B1-4956-4743-9C70-418F2B0C5D8A}">
      <text>
        <r>
          <rPr>
            <b/>
            <sz val="9"/>
            <color indexed="81"/>
            <rFont val="Tahoma"/>
            <family val="2"/>
          </rPr>
          <t>fitume teklemariam:</t>
        </r>
        <r>
          <rPr>
            <sz val="9"/>
            <color indexed="81"/>
            <rFont val="Tahoma"/>
            <family val="2"/>
          </rPr>
          <t xml:space="preserve">
2432026x3, 2632026x14</t>
        </r>
      </text>
    </comment>
    <comment ref="AQ71" authorId="0" shapeId="0" xr:uid="{40F48505-2A73-4FA5-BE64-2756761A62AA}">
      <text>
        <r>
          <rPr>
            <b/>
            <sz val="9"/>
            <color indexed="81"/>
            <rFont val="Tahoma"/>
            <family val="2"/>
          </rPr>
          <t>fitume teklemariam:</t>
        </r>
        <r>
          <rPr>
            <sz val="9"/>
            <color indexed="81"/>
            <rFont val="Tahoma"/>
            <family val="2"/>
          </rPr>
          <t xml:space="preserve">
6171x1, 6179x4, 6185x1, 6233x3, 6264x4, 6328x3</t>
        </r>
      </text>
    </comment>
    <comment ref="AQ73" authorId="0" shapeId="0" xr:uid="{E0FBD20F-1C37-4741-AA11-8213FEF4DD12}">
      <text>
        <r>
          <rPr>
            <b/>
            <sz val="9"/>
            <color indexed="81"/>
            <rFont val="Tahoma"/>
            <charset val="1"/>
          </rPr>
          <t>fitume teklemariam:</t>
        </r>
        <r>
          <rPr>
            <sz val="9"/>
            <color indexed="81"/>
            <rFont val="Tahoma"/>
            <charset val="1"/>
          </rPr>
          <t xml:space="preserve">
6382x1, 6423x4</t>
        </r>
      </text>
    </comment>
  </commentList>
</comments>
</file>

<file path=xl/sharedStrings.xml><?xml version="1.0" encoding="utf-8"?>
<sst xmlns="http://schemas.openxmlformats.org/spreadsheetml/2006/main" count="538" uniqueCount="205">
  <si>
    <t>Roland pinch roller normal</t>
  </si>
  <si>
    <t>Chinese Blade Holder</t>
  </si>
  <si>
    <t xml:space="preserve">Name </t>
  </si>
  <si>
    <t>qty</t>
  </si>
  <si>
    <t>date/doc</t>
  </si>
  <si>
    <t>sale qty</t>
  </si>
  <si>
    <t>doc #</t>
  </si>
  <si>
    <t>total</t>
  </si>
  <si>
    <t xml:space="preserve">3.15A SMd fuse </t>
  </si>
  <si>
    <t>qty found</t>
  </si>
  <si>
    <t xml:space="preserve">Roland </t>
  </si>
  <si>
    <t>Mimaki</t>
  </si>
  <si>
    <t>Red</t>
  </si>
  <si>
    <t>Mimaki BS3 M</t>
  </si>
  <si>
    <t>Mimaki BS3 C</t>
  </si>
  <si>
    <t>Mimaki BS3 Y</t>
  </si>
  <si>
    <t>Mimaki BS3 K</t>
  </si>
  <si>
    <t>Mimaki SS21 C</t>
  </si>
  <si>
    <t>Mimaki SS21 M</t>
  </si>
  <si>
    <t>Mimaki SS21 Y</t>
  </si>
  <si>
    <t>Mimaki SS21 K</t>
  </si>
  <si>
    <t>price ex vat</t>
  </si>
  <si>
    <t>Mimaki vinyl cuter 60d</t>
  </si>
  <si>
    <t>Mimaki pump</t>
  </si>
  <si>
    <t>yellow 60d</t>
  </si>
  <si>
    <t>blue 30d</t>
  </si>
  <si>
    <t>red 45d</t>
  </si>
  <si>
    <t>Roland sheet cutter</t>
  </si>
  <si>
    <t>Mimaki vinyl cuter 30d</t>
  </si>
  <si>
    <t>Mimaki vinyl cuter 45d</t>
  </si>
  <si>
    <t>conical</t>
  </si>
  <si>
    <t>black</t>
  </si>
  <si>
    <t>VP-540/sp/vs</t>
  </si>
  <si>
    <t>Roland/Mimaki blade holder</t>
  </si>
  <si>
    <t>XP600 data cable split cable</t>
  </si>
  <si>
    <t>Dx7/Dx6 head cable</t>
  </si>
  <si>
    <t>Mimaki/Roland</t>
  </si>
  <si>
    <t>DX4 wiper</t>
  </si>
  <si>
    <t>black rubber</t>
  </si>
  <si>
    <t>black/Blue</t>
  </si>
  <si>
    <t>Roland media clamp/clip</t>
  </si>
  <si>
    <t>white</t>
  </si>
  <si>
    <t>Cjv300,Jv300</t>
  </si>
  <si>
    <t>Roland pump</t>
  </si>
  <si>
    <t>China machine</t>
  </si>
  <si>
    <t>clear</t>
  </si>
  <si>
    <t xml:space="preserve">4A SMd fuse </t>
  </si>
  <si>
    <t xml:space="preserve">3.75A SMd fuse </t>
  </si>
  <si>
    <t xml:space="preserve">6A SMd fuse </t>
  </si>
  <si>
    <t>Nubis Valve</t>
  </si>
  <si>
    <t>Encoder sensor Roland</t>
  </si>
  <si>
    <t>used</t>
  </si>
  <si>
    <t>Mimaki  SWJ CS100  C</t>
  </si>
  <si>
    <t>Mimaki  SWJ CS100  M</t>
  </si>
  <si>
    <t>Mimaki  SWJ CS100  Y</t>
  </si>
  <si>
    <t>Mimaki  SWJ CS100  K</t>
  </si>
  <si>
    <t>green</t>
  </si>
  <si>
    <t>Magic adwork suppliers printer parts Benoni</t>
  </si>
  <si>
    <t>Mimaki sheet cut blade</t>
  </si>
  <si>
    <t>Encoder strip 3000mm</t>
  </si>
  <si>
    <t>Cleaning stick small</t>
  </si>
  <si>
    <t>Cleaning stick big</t>
  </si>
  <si>
    <t>2, Wiper, cap/ cleaning stick &amp; sponges</t>
  </si>
  <si>
    <t>All types</t>
  </si>
  <si>
    <t>6, Cables</t>
  </si>
  <si>
    <t>7, Media holder/ clamp</t>
  </si>
  <si>
    <t>Cable card Mimaki cjv30</t>
  </si>
  <si>
    <t>8, Pumps</t>
  </si>
  <si>
    <t xml:space="preserve">1, Dampers    </t>
  </si>
  <si>
    <t>Mimaki SB53 C</t>
  </si>
  <si>
    <t>Mimaki SB53 M</t>
  </si>
  <si>
    <t>Mimaki SB53 Y</t>
  </si>
  <si>
    <t>Mimaki SB53 K</t>
  </si>
  <si>
    <t>New Roland</t>
  </si>
  <si>
    <t>Chinas dampers small</t>
  </si>
  <si>
    <t>Mimaki cjv30, jv33 cap pad</t>
  </si>
  <si>
    <t>sponge</t>
  </si>
  <si>
    <t>Roland Vinyl cutter 60d</t>
  </si>
  <si>
    <t>Roland Vinyl cutter 45d</t>
  </si>
  <si>
    <t>Roland Vinyl cutter 30d</t>
  </si>
  <si>
    <t>Roland Roller complete</t>
  </si>
  <si>
    <t>original</t>
  </si>
  <si>
    <t>Roland pinch roller lift/right</t>
  </si>
  <si>
    <t>9, Cartridges/ Ink systems</t>
  </si>
  <si>
    <t>Nubis 2 colour steel bin</t>
  </si>
  <si>
    <t>complete</t>
  </si>
  <si>
    <t>Nubis cartridges kit</t>
  </si>
  <si>
    <t>Nubis Y connector splitter</t>
  </si>
  <si>
    <t>Encoder strip Roland/Mimaki 5000mm</t>
  </si>
  <si>
    <t>Mimaki cutting strip 1600mm</t>
  </si>
  <si>
    <t>Mimaki / Roland DX5, Dx6, Dx7 wiper</t>
  </si>
  <si>
    <t>Refillable cartridges big funnel</t>
  </si>
  <si>
    <t>CJV150-160 long cable</t>
  </si>
  <si>
    <t>Mimaki media holder / clamp Cjv150,Jv150</t>
  </si>
  <si>
    <t>Middle Cart. With Flouting &amp; bottles on top</t>
  </si>
  <si>
    <t>Mimaki TS34 damper</t>
  </si>
  <si>
    <t xml:space="preserve">Dx5 Dampers </t>
  </si>
  <si>
    <t>use for the following machins</t>
  </si>
  <si>
    <t>Mimaki / Chinese</t>
  </si>
  <si>
    <t>R298</t>
  </si>
  <si>
    <t>DX4 Dampers big roland</t>
  </si>
  <si>
    <t>R250</t>
  </si>
  <si>
    <t>R650</t>
  </si>
  <si>
    <t>R850</t>
  </si>
  <si>
    <t>R1895</t>
  </si>
  <si>
    <t>Mimaki Joint valve Jv5</t>
  </si>
  <si>
    <t>Mimaki /Roland dx5/Dx6/Dx7 cap</t>
  </si>
  <si>
    <t>R150</t>
  </si>
  <si>
    <t>R600</t>
  </si>
  <si>
    <t>Mimaki Ts100,jv100 cap</t>
  </si>
  <si>
    <t>mimaki</t>
  </si>
  <si>
    <t xml:space="preserve">floating cartridges </t>
  </si>
  <si>
    <t>with tubes clear</t>
  </si>
  <si>
    <t>4 cables together</t>
  </si>
  <si>
    <t>R2600</t>
  </si>
  <si>
    <t>R900</t>
  </si>
  <si>
    <t>180,15mm</t>
  </si>
  <si>
    <t>R1100</t>
  </si>
  <si>
    <t>R20000</t>
  </si>
  <si>
    <t>BS board</t>
  </si>
  <si>
    <t>cjv30 Mother board BS</t>
  </si>
  <si>
    <t>with tubes black</t>
  </si>
  <si>
    <t>Mimaki JV150 160 Optic cable with coil</t>
  </si>
  <si>
    <t>Cjv300,Jv300 160 EPL3</t>
  </si>
  <si>
    <t>R3500</t>
  </si>
  <si>
    <t>EPL3 convertion</t>
  </si>
  <si>
    <t>Mimaki cjv150 Cable connecting board</t>
  </si>
  <si>
    <t>Faerie coil</t>
  </si>
  <si>
    <t>Mimaki Faerie coil</t>
  </si>
  <si>
    <t xml:space="preserve">11, Chips </t>
  </si>
  <si>
    <t>9, Fuse &amp; Mother board</t>
  </si>
  <si>
    <t xml:space="preserve">3, Blades </t>
  </si>
  <si>
    <t>5, Pinch roller &amp; bearing</t>
  </si>
  <si>
    <t>R180</t>
  </si>
  <si>
    <t>Roland VS Dx6 Dampers</t>
  </si>
  <si>
    <t>R550</t>
  </si>
  <si>
    <t>R30</t>
  </si>
  <si>
    <t>12, others</t>
  </si>
  <si>
    <t>Roland pad and mimaki spring</t>
  </si>
  <si>
    <t>Mimaki Linear bearing jv150,cjv150</t>
  </si>
  <si>
    <t>Chanese machine pump</t>
  </si>
  <si>
    <t>10, Encoder strips/ sensorsBearing</t>
  </si>
  <si>
    <t>Mimaki Left&amp;right bearing cjv150</t>
  </si>
  <si>
    <t>R1700</t>
  </si>
  <si>
    <t>set</t>
  </si>
  <si>
    <t xml:space="preserve">jv150,cjv150 </t>
  </si>
  <si>
    <t>Mimaki Left&amp;right bearing cjv30</t>
  </si>
  <si>
    <t>Roland Cable card 15p1 Roland</t>
  </si>
  <si>
    <t>R690</t>
  </si>
  <si>
    <t>R1200</t>
  </si>
  <si>
    <t>Roland DX4 Dampers Small</t>
  </si>
  <si>
    <t xml:space="preserve">Roland Long cable 36pin 3200mm </t>
  </si>
  <si>
    <t>R1250</t>
  </si>
  <si>
    <t>Roland cutting stip</t>
  </si>
  <si>
    <t>R500</t>
  </si>
  <si>
    <t>cables</t>
  </si>
  <si>
    <t>different type</t>
  </si>
  <si>
    <t>Mimaki Encoder sensor / board</t>
  </si>
  <si>
    <t>different sensors</t>
  </si>
  <si>
    <t>Mimaki photo interrupter</t>
  </si>
  <si>
    <t>Mimaki orignal encoder strip</t>
  </si>
  <si>
    <t>R1270</t>
  </si>
  <si>
    <t>cjv150/300</t>
  </si>
  <si>
    <t>Mimaki wiper/ Media sensor cjv150</t>
  </si>
  <si>
    <t>R6000</t>
  </si>
  <si>
    <t>Mimaki SPB blade original</t>
  </si>
  <si>
    <t>DX4 Chinas dampers Big</t>
  </si>
  <si>
    <t>Roland / CJ-540</t>
  </si>
  <si>
    <r>
      <t xml:space="preserve">fuse </t>
    </r>
    <r>
      <rPr>
        <b/>
        <sz val="10"/>
        <color rgb="FFFF0000"/>
        <rFont val="Calibri"/>
        <family val="2"/>
        <scheme val="minor"/>
      </rPr>
      <t>(All fuses inTekle's draw)</t>
    </r>
  </si>
  <si>
    <t>Middle cart./pouches/with tube&amp;Needle</t>
  </si>
  <si>
    <t>R1043-48</t>
  </si>
  <si>
    <t>Wiper Chinas machine</t>
  </si>
  <si>
    <t>Roland head cable (Dx4 head cable) 21P1 35cm &amp; 40cm</t>
  </si>
  <si>
    <t>Roland pad cutter VP-540</t>
  </si>
  <si>
    <t>CJV150 FFC cutter cable 20p</t>
  </si>
  <si>
    <t>Mimaki pinch roller</t>
  </si>
  <si>
    <t>Roland original</t>
  </si>
  <si>
    <t>Dx7 Dampers (DX7 original=R920)</t>
  </si>
  <si>
    <t xml:space="preserve">           5, Pinch roller &amp; bearing</t>
  </si>
  <si>
    <t xml:space="preserve">           7, Media holder/ clamp</t>
  </si>
  <si>
    <t xml:space="preserve">            6, Cables</t>
  </si>
  <si>
    <t>Mimaki cjv150, jv150/300 cap pad DX7</t>
  </si>
  <si>
    <t>Optic cable for EPL2</t>
  </si>
  <si>
    <t>Mimaki FX II vinyl cutter cable</t>
  </si>
  <si>
    <t>Top fill cartridges (Vertical refillable cartridge)</t>
  </si>
  <si>
    <t>Mimaki CJV150-160 long belt</t>
  </si>
  <si>
    <t>Roland DX4 cap top (original)</t>
  </si>
  <si>
    <t>Dx5 head cable pair</t>
  </si>
  <si>
    <t>JV150-160 long cable</t>
  </si>
  <si>
    <t>DX5 Chinas dampers UV &amp; no valve dampers</t>
  </si>
  <si>
    <r>
      <t xml:space="preserve">Original </t>
    </r>
    <r>
      <rPr>
        <sz val="9"/>
        <color rgb="FFFF0000"/>
        <rFont val="Calibri"/>
        <family val="2"/>
        <scheme val="minor"/>
      </rPr>
      <t>red</t>
    </r>
    <r>
      <rPr>
        <sz val="9"/>
        <rFont val="Calibri"/>
        <family val="2"/>
        <scheme val="minor"/>
      </rPr>
      <t xml:space="preserve"> </t>
    </r>
  </si>
  <si>
    <t>Do not have with me</t>
  </si>
  <si>
    <t>Roland pinch roller left/right</t>
  </si>
  <si>
    <t>DX4 Dampers big roland with connector</t>
  </si>
  <si>
    <t>Mimaki sheet cut blade (Media)</t>
  </si>
  <si>
    <t>Used CJV150-160 24/03/2026</t>
  </si>
  <si>
    <t>Mimaki Left&amp;right bearing cjv150 (Flying Pulley)</t>
  </si>
  <si>
    <t>Dx7 Dampers (DX7 original=R1200)</t>
  </si>
  <si>
    <t>Short one as on 14/04/2026</t>
  </si>
  <si>
    <t>4 over as on the 14/04/2026</t>
  </si>
  <si>
    <t>one over as on 14/04/2026</t>
  </si>
  <si>
    <t>Notes stock count 14/04/2026</t>
  </si>
  <si>
    <t>1 used</t>
  </si>
  <si>
    <t>9 over as on 20/04/2026</t>
  </si>
  <si>
    <t xml:space="preserve">fuse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</si>
</sst>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quot;#,##0;[Red]\-&quot;R&quot;#,##0"/>
  </numFmts>
  <fonts count="30" x14ac:knownFonts="1">
    <font>
      <sz val="11"/>
      <color theme="1"/>
      <name val="Calibri"/>
      <family val="2"/>
      <scheme val="minor"/>
    </font>
    <font>
      <b/>
      <sz val="10"/>
      <color theme="1"/>
      <name val="Calibri"/>
      <family val="2"/>
      <scheme val="minor"/>
    </font>
    <font>
      <b/>
      <sz val="12"/>
      <name val="Calibri"/>
      <family val="2"/>
      <scheme val="minor"/>
    </font>
    <font>
      <sz val="8"/>
      <name val="Calibri"/>
      <family val="2"/>
      <scheme val="minor"/>
    </font>
    <font>
      <b/>
      <sz val="12"/>
      <color theme="1"/>
      <name val="Calibri"/>
      <family val="2"/>
      <scheme val="minor"/>
    </font>
    <font>
      <b/>
      <sz val="10"/>
      <name val="Calibri"/>
      <family val="2"/>
      <scheme val="minor"/>
    </font>
    <font>
      <b/>
      <sz val="10"/>
      <color rgb="FFFF0000"/>
      <name val="Calibri"/>
      <family val="2"/>
      <scheme val="minor"/>
    </font>
    <font>
      <b/>
      <sz val="12"/>
      <color rgb="FFFF0000"/>
      <name val="Calibri"/>
      <family val="2"/>
      <scheme val="minor"/>
    </font>
    <font>
      <b/>
      <sz val="10"/>
      <color theme="0"/>
      <name val="Calibri"/>
      <family val="2"/>
      <scheme val="minor"/>
    </font>
    <font>
      <b/>
      <i/>
      <u/>
      <sz val="10"/>
      <color theme="1"/>
      <name val="Calibri"/>
      <family val="2"/>
      <scheme val="minor"/>
    </font>
    <font>
      <b/>
      <i/>
      <u/>
      <sz val="10"/>
      <name val="Calibri"/>
      <family val="2"/>
      <scheme val="minor"/>
    </font>
    <font>
      <b/>
      <u/>
      <sz val="10"/>
      <name val="Calibri"/>
      <family val="2"/>
      <scheme val="minor"/>
    </font>
    <font>
      <sz val="12"/>
      <name val="Calibri"/>
      <family val="2"/>
      <scheme val="minor"/>
    </font>
    <font>
      <sz val="9"/>
      <color indexed="81"/>
      <name val="Tahoma"/>
      <family val="2"/>
    </font>
    <font>
      <b/>
      <sz val="9"/>
      <color indexed="81"/>
      <name val="Tahoma"/>
      <family val="2"/>
    </font>
    <font>
      <sz val="12"/>
      <color theme="1"/>
      <name val="Calibri"/>
      <family val="2"/>
      <scheme val="minor"/>
    </font>
    <font>
      <sz val="12"/>
      <color rgb="FFFF0000"/>
      <name val="Calibri"/>
      <family val="2"/>
      <scheme val="minor"/>
    </font>
    <font>
      <b/>
      <i/>
      <u/>
      <sz val="12"/>
      <color theme="1"/>
      <name val="Calibri"/>
      <family val="2"/>
      <scheme val="minor"/>
    </font>
    <font>
      <b/>
      <i/>
      <u/>
      <sz val="12"/>
      <name val="Calibri"/>
      <family val="2"/>
      <scheme val="minor"/>
    </font>
    <font>
      <b/>
      <u/>
      <sz val="10"/>
      <color theme="1"/>
      <name val="Calibri"/>
      <family val="2"/>
      <scheme val="minor"/>
    </font>
    <font>
      <b/>
      <u/>
      <sz val="9"/>
      <color theme="1"/>
      <name val="Calibri"/>
      <family val="2"/>
      <scheme val="minor"/>
    </font>
    <font>
      <sz val="9"/>
      <color theme="1"/>
      <name val="Calibri"/>
      <family val="2"/>
      <scheme val="minor"/>
    </font>
    <font>
      <b/>
      <sz val="9"/>
      <color theme="1"/>
      <name val="Calibri"/>
      <family val="2"/>
      <scheme val="minor"/>
    </font>
    <font>
      <b/>
      <sz val="9"/>
      <name val="Calibri"/>
      <family val="2"/>
      <scheme val="minor"/>
    </font>
    <font>
      <sz val="9"/>
      <name val="Calibri"/>
      <family val="2"/>
      <scheme val="minor"/>
    </font>
    <font>
      <sz val="9"/>
      <color rgb="FFFF0000"/>
      <name val="Calibri"/>
      <family val="2"/>
      <scheme val="minor"/>
    </font>
    <font>
      <b/>
      <sz val="9"/>
      <color rgb="FFFF0000"/>
      <name val="Calibri"/>
      <family val="2"/>
      <scheme val="minor"/>
    </font>
    <font>
      <b/>
      <sz val="16"/>
      <name val="Calibri"/>
      <family val="2"/>
      <scheme val="minor"/>
    </font>
    <font>
      <sz val="9"/>
      <color indexed="81"/>
      <name val="Tahoma"/>
      <charset val="1"/>
    </font>
    <font>
      <b/>
      <sz val="9"/>
      <color indexed="81"/>
      <name val="Tahoma"/>
      <charset val="1"/>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3" tint="0.39997558519241921"/>
        <bgColor indexed="64"/>
      </patternFill>
    </fill>
    <fill>
      <patternFill patternType="solid">
        <fgColor theme="1"/>
        <bgColor indexed="64"/>
      </patternFill>
    </fill>
    <fill>
      <patternFill patternType="solid">
        <fgColor rgb="FFFF0000"/>
        <bgColor indexed="64"/>
      </patternFill>
    </fill>
    <fill>
      <patternFill patternType="solid">
        <fgColor theme="0" tint="-0.14999847407452621"/>
        <bgColor indexed="64"/>
      </patternFill>
    </fill>
  </fills>
  <borders count="32">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top/>
      <bottom/>
      <diagonal/>
    </border>
    <border>
      <left style="thin">
        <color auto="1"/>
      </left>
      <right/>
      <top style="medium">
        <color indexed="64"/>
      </top>
      <bottom style="thin">
        <color auto="1"/>
      </bottom>
      <diagonal/>
    </border>
    <border>
      <left style="thin">
        <color auto="1"/>
      </left>
      <right/>
      <top style="thin">
        <color auto="1"/>
      </top>
      <bottom style="medium">
        <color indexed="64"/>
      </bottom>
      <diagonal/>
    </border>
    <border>
      <left/>
      <right style="thin">
        <color auto="1"/>
      </right>
      <top style="medium">
        <color indexed="64"/>
      </top>
      <bottom style="thin">
        <color auto="1"/>
      </bottom>
      <diagonal/>
    </border>
    <border>
      <left/>
      <right style="thin">
        <color auto="1"/>
      </right>
      <top style="thin">
        <color auto="1"/>
      </top>
      <bottom style="medium">
        <color indexed="64"/>
      </bottom>
      <diagonal/>
    </border>
    <border>
      <left style="thin">
        <color auto="1"/>
      </left>
      <right style="medium">
        <color indexed="64"/>
      </right>
      <top/>
      <bottom/>
      <diagonal/>
    </border>
    <border>
      <left/>
      <right/>
      <top style="medium">
        <color indexed="64"/>
      </top>
      <bottom/>
      <diagonal/>
    </border>
    <border>
      <left/>
      <right style="medium">
        <color indexed="64"/>
      </right>
      <top/>
      <bottom/>
      <diagonal/>
    </border>
    <border>
      <left/>
      <right/>
      <top/>
      <bottom style="medium">
        <color indexed="64"/>
      </bottom>
      <diagonal/>
    </border>
    <border>
      <left/>
      <right/>
      <top style="medium">
        <color indexed="64"/>
      </top>
      <bottom style="medium">
        <color indexed="64"/>
      </bottom>
      <diagonal/>
    </border>
    <border>
      <left/>
      <right style="thin">
        <color auto="1"/>
      </right>
      <top style="medium">
        <color indexed="64"/>
      </top>
      <bottom style="medium">
        <color indexed="64"/>
      </bottom>
      <diagonal/>
    </border>
    <border>
      <left/>
      <right style="thin">
        <color indexed="64"/>
      </right>
      <top/>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medium">
        <color indexed="64"/>
      </right>
      <top style="thin">
        <color auto="1"/>
      </top>
      <bottom/>
      <diagonal/>
    </border>
    <border>
      <left/>
      <right style="thin">
        <color auto="1"/>
      </right>
      <top style="thin">
        <color auto="1"/>
      </top>
      <bottom/>
      <diagonal/>
    </border>
    <border>
      <left style="medium">
        <color indexed="64"/>
      </left>
      <right style="medium">
        <color indexed="64"/>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s>
  <cellStyleXfs count="1">
    <xf numFmtId="0" fontId="0" fillId="0" borderId="0"/>
  </cellStyleXfs>
  <cellXfs count="342">
    <xf numFmtId="0" fontId="0" fillId="0" borderId="0" xfId="0"/>
    <xf numFmtId="0" fontId="2" fillId="3" borderId="1" xfId="0" applyFont="1" applyFill="1" applyBorder="1"/>
    <xf numFmtId="0" fontId="4" fillId="0" borderId="0" xfId="0" applyFont="1" applyAlignment="1">
      <alignment horizontal="left"/>
    </xf>
    <xf numFmtId="0" fontId="4" fillId="3" borderId="0" xfId="0" applyFont="1" applyFill="1" applyAlignment="1">
      <alignment horizontal="left"/>
    </xf>
    <xf numFmtId="0" fontId="1" fillId="0" borderId="0" xfId="0" applyFont="1"/>
    <xf numFmtId="0" fontId="1" fillId="0" borderId="1" xfId="0" applyFont="1" applyBorder="1"/>
    <xf numFmtId="0" fontId="5" fillId="3" borderId="0" xfId="0" applyFont="1" applyFill="1"/>
    <xf numFmtId="0" fontId="5" fillId="3" borderId="4" xfId="0" applyFont="1" applyFill="1" applyBorder="1"/>
    <xf numFmtId="0" fontId="5" fillId="3" borderId="7" xfId="0" applyFont="1" applyFill="1" applyBorder="1"/>
    <xf numFmtId="0" fontId="6" fillId="3" borderId="0" xfId="0" applyFont="1" applyFill="1"/>
    <xf numFmtId="0" fontId="5" fillId="3" borderId="1" xfId="0" applyFont="1" applyFill="1" applyBorder="1"/>
    <xf numFmtId="0" fontId="5" fillId="3" borderId="9" xfId="0" applyFont="1" applyFill="1" applyBorder="1"/>
    <xf numFmtId="0" fontId="5" fillId="3" borderId="24" xfId="0" applyFont="1" applyFill="1" applyBorder="1"/>
    <xf numFmtId="0" fontId="7" fillId="3" borderId="0" xfId="0" applyFont="1" applyFill="1"/>
    <xf numFmtId="0" fontId="2" fillId="3" borderId="0" xfId="0" applyFont="1" applyFill="1"/>
    <xf numFmtId="0" fontId="8" fillId="6" borderId="7" xfId="0" applyFont="1" applyFill="1" applyBorder="1"/>
    <xf numFmtId="0" fontId="5" fillId="2" borderId="7" xfId="0" applyFont="1" applyFill="1" applyBorder="1"/>
    <xf numFmtId="0" fontId="8" fillId="5" borderId="7" xfId="0" applyFont="1" applyFill="1" applyBorder="1"/>
    <xf numFmtId="0" fontId="8" fillId="4" borderId="7" xfId="0" applyFont="1" applyFill="1" applyBorder="1"/>
    <xf numFmtId="0" fontId="5" fillId="3" borderId="1" xfId="0" applyFont="1" applyFill="1" applyBorder="1" applyAlignment="1">
      <alignment horizontal="center"/>
    </xf>
    <xf numFmtId="0" fontId="5" fillId="3" borderId="10" xfId="0" applyFont="1" applyFill="1" applyBorder="1" applyAlignment="1">
      <alignment horizontal="center"/>
    </xf>
    <xf numFmtId="0" fontId="5" fillId="3" borderId="26" xfId="0" applyFont="1" applyFill="1" applyBorder="1" applyAlignment="1">
      <alignment horizontal="center"/>
    </xf>
    <xf numFmtId="0" fontId="1" fillId="0" borderId="1" xfId="0" applyFont="1" applyBorder="1" applyAlignment="1">
      <alignment horizontal="center" wrapText="1"/>
    </xf>
    <xf numFmtId="0" fontId="5" fillId="3" borderId="1" xfId="0" applyFont="1" applyFill="1" applyBorder="1" applyAlignment="1">
      <alignment wrapText="1"/>
    </xf>
    <xf numFmtId="0" fontId="1" fillId="0" borderId="0" xfId="0" applyFont="1" applyAlignment="1">
      <alignment horizontal="left"/>
    </xf>
    <xf numFmtId="0" fontId="1" fillId="0" borderId="1" xfId="0" applyFont="1" applyBorder="1" applyAlignment="1">
      <alignment vertical="center" wrapText="1"/>
    </xf>
    <xf numFmtId="0" fontId="1" fillId="0" borderId="4" xfId="0" applyFont="1" applyBorder="1" applyAlignment="1">
      <alignment vertical="center" wrapText="1"/>
    </xf>
    <xf numFmtId="0" fontId="1" fillId="0" borderId="7" xfId="0" applyFont="1" applyBorder="1" applyAlignment="1">
      <alignment vertical="center" wrapText="1"/>
    </xf>
    <xf numFmtId="0" fontId="1" fillId="3" borderId="7" xfId="0" applyFont="1" applyFill="1" applyBorder="1"/>
    <xf numFmtId="0" fontId="1" fillId="0" borderId="9" xfId="0" applyFont="1" applyBorder="1"/>
    <xf numFmtId="0" fontId="1" fillId="0" borderId="7" xfId="0" applyFont="1" applyBorder="1"/>
    <xf numFmtId="0" fontId="15" fillId="0" borderId="0" xfId="0" applyFont="1"/>
    <xf numFmtId="0" fontId="12" fillId="3" borderId="0" xfId="0" applyFont="1" applyFill="1"/>
    <xf numFmtId="0" fontId="15" fillId="3" borderId="0" xfId="0" applyFont="1" applyFill="1"/>
    <xf numFmtId="0" fontId="4" fillId="0" borderId="0" xfId="0" applyFont="1"/>
    <xf numFmtId="0" fontId="15" fillId="0" borderId="1" xfId="0" applyFont="1" applyBorder="1" applyAlignment="1">
      <alignment wrapText="1"/>
    </xf>
    <xf numFmtId="0" fontId="15" fillId="0" borderId="1" xfId="0" applyFont="1" applyBorder="1"/>
    <xf numFmtId="0" fontId="7" fillId="0" borderId="0" xfId="0" applyFont="1"/>
    <xf numFmtId="0" fontId="2" fillId="3" borderId="7" xfId="0" applyFont="1" applyFill="1" applyBorder="1"/>
    <xf numFmtId="0" fontId="2" fillId="3" borderId="4" xfId="0" applyFont="1" applyFill="1" applyBorder="1"/>
    <xf numFmtId="0" fontId="12" fillId="3" borderId="5" xfId="0" applyFont="1" applyFill="1" applyBorder="1" applyAlignment="1">
      <alignment horizontal="center"/>
    </xf>
    <xf numFmtId="0" fontId="15" fillId="7" borderId="5" xfId="0" applyFont="1" applyFill="1" applyBorder="1"/>
    <xf numFmtId="0" fontId="15" fillId="2" borderId="6" xfId="0" applyFont="1" applyFill="1" applyBorder="1"/>
    <xf numFmtId="0" fontId="15" fillId="3" borderId="15" xfId="0" applyFont="1" applyFill="1" applyBorder="1"/>
    <xf numFmtId="0" fontId="15" fillId="3" borderId="5" xfId="0" applyFont="1" applyFill="1" applyBorder="1"/>
    <xf numFmtId="0" fontId="12" fillId="3" borderId="1" xfId="0" applyFont="1" applyFill="1" applyBorder="1" applyAlignment="1">
      <alignment horizontal="center"/>
    </xf>
    <xf numFmtId="0" fontId="15" fillId="7" borderId="1" xfId="0" applyFont="1" applyFill="1" applyBorder="1"/>
    <xf numFmtId="0" fontId="15" fillId="2" borderId="8" xfId="0" applyFont="1" applyFill="1" applyBorder="1"/>
    <xf numFmtId="0" fontId="15" fillId="3" borderId="2" xfId="0" applyFont="1" applyFill="1" applyBorder="1"/>
    <xf numFmtId="0" fontId="15" fillId="3" borderId="1" xfId="0" applyFont="1" applyFill="1" applyBorder="1"/>
    <xf numFmtId="0" fontId="7" fillId="3" borderId="3" xfId="0" applyFont="1" applyFill="1" applyBorder="1" applyAlignment="1">
      <alignment horizontal="center"/>
    </xf>
    <xf numFmtId="0" fontId="2" fillId="3" borderId="9" xfId="0" applyFont="1" applyFill="1" applyBorder="1"/>
    <xf numFmtId="0" fontId="2" fillId="3" borderId="10" xfId="0" applyFont="1" applyFill="1" applyBorder="1" applyAlignment="1">
      <alignment horizontal="center"/>
    </xf>
    <xf numFmtId="0" fontId="4" fillId="3" borderId="14" xfId="0" applyFont="1" applyFill="1" applyBorder="1" applyAlignment="1">
      <alignment horizontal="center"/>
    </xf>
    <xf numFmtId="0" fontId="16" fillId="2" borderId="10" xfId="0" applyFont="1" applyFill="1" applyBorder="1" applyAlignment="1">
      <alignment horizontal="center"/>
    </xf>
    <xf numFmtId="0" fontId="15" fillId="7" borderId="10" xfId="0" applyFont="1" applyFill="1" applyBorder="1"/>
    <xf numFmtId="0" fontId="15" fillId="2" borderId="11" xfId="0" applyFont="1" applyFill="1" applyBorder="1"/>
    <xf numFmtId="0" fontId="15" fillId="3" borderId="16" xfId="0" applyFont="1" applyFill="1" applyBorder="1"/>
    <xf numFmtId="0" fontId="15" fillId="3" borderId="10" xfId="0" applyFont="1" applyFill="1" applyBorder="1"/>
    <xf numFmtId="0" fontId="15" fillId="7" borderId="9" xfId="0" applyFont="1" applyFill="1" applyBorder="1" applyAlignment="1">
      <alignment horizontal="center"/>
    </xf>
    <xf numFmtId="0" fontId="12" fillId="3" borderId="1" xfId="0" applyFont="1" applyFill="1" applyBorder="1"/>
    <xf numFmtId="0" fontId="12" fillId="3" borderId="10" xfId="0" applyFont="1" applyFill="1" applyBorder="1"/>
    <xf numFmtId="0" fontId="12" fillId="3" borderId="5" xfId="0" applyFont="1" applyFill="1" applyBorder="1"/>
    <xf numFmtId="0" fontId="4" fillId="3" borderId="12" xfId="0" applyFont="1" applyFill="1" applyBorder="1"/>
    <xf numFmtId="0" fontId="4" fillId="7" borderId="7" xfId="0" applyFont="1" applyFill="1" applyBorder="1"/>
    <xf numFmtId="0" fontId="4" fillId="2" borderId="1" xfId="0" applyFont="1" applyFill="1" applyBorder="1"/>
    <xf numFmtId="0" fontId="15" fillId="3" borderId="1" xfId="0" applyFont="1" applyFill="1" applyBorder="1" applyAlignment="1">
      <alignment horizontal="center"/>
    </xf>
    <xf numFmtId="0" fontId="15" fillId="7" borderId="7" xfId="0" applyFont="1" applyFill="1" applyBorder="1"/>
    <xf numFmtId="0" fontId="15" fillId="2" borderId="1" xfId="0" applyFont="1" applyFill="1" applyBorder="1"/>
    <xf numFmtId="0" fontId="15" fillId="2" borderId="10" xfId="0" applyFont="1" applyFill="1" applyBorder="1"/>
    <xf numFmtId="0" fontId="2" fillId="3" borderId="5" xfId="0" applyFont="1" applyFill="1" applyBorder="1"/>
    <xf numFmtId="0" fontId="7" fillId="3" borderId="1" xfId="0" applyFont="1" applyFill="1" applyBorder="1"/>
    <xf numFmtId="0" fontId="12" fillId="3" borderId="12" xfId="0" applyFont="1" applyFill="1" applyBorder="1"/>
    <xf numFmtId="0" fontId="2" fillId="0" borderId="13" xfId="0" applyFont="1" applyBorder="1" applyAlignment="1">
      <alignment horizontal="center"/>
    </xf>
    <xf numFmtId="0" fontId="15" fillId="7" borderId="4" xfId="0" applyFont="1" applyFill="1" applyBorder="1"/>
    <xf numFmtId="0" fontId="15" fillId="2" borderId="5" xfId="0" applyFont="1" applyFill="1" applyBorder="1"/>
    <xf numFmtId="0" fontId="4" fillId="3" borderId="0" xfId="0" applyFont="1" applyFill="1"/>
    <xf numFmtId="0" fontId="2" fillId="0" borderId="3" xfId="0" applyFont="1" applyBorder="1" applyAlignment="1">
      <alignment horizontal="center"/>
    </xf>
    <xf numFmtId="0" fontId="15" fillId="0" borderId="2" xfId="0" applyFont="1" applyBorder="1"/>
    <xf numFmtId="0" fontId="7" fillId="3" borderId="10" xfId="0" applyFont="1" applyFill="1" applyBorder="1"/>
    <xf numFmtId="0" fontId="2" fillId="0" borderId="0" xfId="0" applyFont="1"/>
    <xf numFmtId="0" fontId="12" fillId="3" borderId="6" xfId="0" applyFont="1" applyFill="1" applyBorder="1" applyAlignment="1">
      <alignment horizontal="center"/>
    </xf>
    <xf numFmtId="0" fontId="12" fillId="3" borderId="8" xfId="0" applyFont="1" applyFill="1" applyBorder="1" applyAlignment="1">
      <alignment horizontal="center"/>
    </xf>
    <xf numFmtId="0" fontId="12" fillId="3" borderId="11" xfId="0" applyFont="1" applyFill="1" applyBorder="1" applyAlignment="1">
      <alignment horizontal="center"/>
    </xf>
    <xf numFmtId="0" fontId="2" fillId="3" borderId="8" xfId="0" applyFont="1" applyFill="1" applyBorder="1" applyAlignment="1">
      <alignment horizontal="center"/>
    </xf>
    <xf numFmtId="0" fontId="16" fillId="3" borderId="17" xfId="0" applyFont="1" applyFill="1" applyBorder="1" applyAlignment="1">
      <alignment horizontal="center"/>
    </xf>
    <xf numFmtId="0" fontId="19" fillId="0" borderId="0" xfId="0" applyFont="1"/>
    <xf numFmtId="0" fontId="1" fillId="0" borderId="9" xfId="0" applyFont="1" applyBorder="1" applyAlignment="1">
      <alignment vertical="center" wrapText="1"/>
    </xf>
    <xf numFmtId="0" fontId="1" fillId="0" borderId="4" xfId="0" applyFont="1" applyBorder="1"/>
    <xf numFmtId="0" fontId="8" fillId="4" borderId="4" xfId="0" applyFont="1" applyFill="1" applyBorder="1"/>
    <xf numFmtId="0" fontId="20" fillId="0" borderId="0" xfId="0" applyFont="1" applyAlignment="1">
      <alignment horizontal="center"/>
    </xf>
    <xf numFmtId="0" fontId="21" fillId="0" borderId="1" xfId="0" applyFont="1" applyBorder="1" applyAlignment="1">
      <alignment horizontal="center" wrapText="1"/>
    </xf>
    <xf numFmtId="0" fontId="22" fillId="0" borderId="1" xfId="0" applyFont="1" applyBorder="1" applyAlignment="1">
      <alignment horizontal="center" vertical="center" wrapText="1"/>
    </xf>
    <xf numFmtId="164" fontId="22" fillId="0" borderId="1" xfId="0" applyNumberFormat="1" applyFont="1" applyBorder="1" applyAlignment="1">
      <alignment horizontal="center" vertical="center" wrapText="1"/>
    </xf>
    <xf numFmtId="0" fontId="22" fillId="0" borderId="5" xfId="0" applyFont="1" applyBorder="1" applyAlignment="1">
      <alignment horizontal="center" vertical="center" wrapText="1"/>
    </xf>
    <xf numFmtId="0" fontId="22" fillId="0" borderId="10" xfId="0" applyFont="1" applyBorder="1" applyAlignment="1">
      <alignment horizontal="center" vertical="center" wrapText="1"/>
    </xf>
    <xf numFmtId="164" fontId="23" fillId="3" borderId="5" xfId="0" applyNumberFormat="1" applyFont="1" applyFill="1" applyBorder="1" applyAlignment="1">
      <alignment horizontal="center"/>
    </xf>
    <xf numFmtId="164" fontId="23" fillId="3" borderId="1" xfId="0" applyNumberFormat="1" applyFont="1" applyFill="1" applyBorder="1" applyAlignment="1">
      <alignment horizontal="center"/>
    </xf>
    <xf numFmtId="0" fontId="23" fillId="3" borderId="1" xfId="0" applyFont="1" applyFill="1" applyBorder="1" applyAlignment="1">
      <alignment horizontal="center"/>
    </xf>
    <xf numFmtId="0" fontId="23" fillId="3" borderId="10" xfId="0" applyFont="1" applyFill="1" applyBorder="1" applyAlignment="1">
      <alignment horizontal="center"/>
    </xf>
    <xf numFmtId="0" fontId="24" fillId="3" borderId="26" xfId="0" applyFont="1" applyFill="1" applyBorder="1" applyAlignment="1">
      <alignment horizontal="center"/>
    </xf>
    <xf numFmtId="0" fontId="24" fillId="3" borderId="10" xfId="0" applyFont="1" applyFill="1" applyBorder="1" applyAlignment="1">
      <alignment horizontal="center"/>
    </xf>
    <xf numFmtId="0" fontId="23" fillId="3" borderId="26" xfId="0" applyFont="1" applyFill="1" applyBorder="1" applyAlignment="1">
      <alignment horizontal="center"/>
    </xf>
    <xf numFmtId="0" fontId="22" fillId="3" borderId="1" xfId="0" applyFont="1" applyFill="1" applyBorder="1" applyAlignment="1">
      <alignment horizontal="center"/>
    </xf>
    <xf numFmtId="0" fontId="24" fillId="3" borderId="1" xfId="0" applyFont="1" applyFill="1" applyBorder="1" applyAlignment="1">
      <alignment horizontal="center"/>
    </xf>
    <xf numFmtId="0" fontId="21" fillId="0" borderId="10" xfId="0" applyFont="1" applyBorder="1" applyAlignment="1">
      <alignment horizontal="center"/>
    </xf>
    <xf numFmtId="0" fontId="23" fillId="3" borderId="5" xfId="0" applyFont="1" applyFill="1" applyBorder="1" applyAlignment="1">
      <alignment horizontal="center"/>
    </xf>
    <xf numFmtId="0" fontId="22" fillId="0" borderId="5" xfId="0" applyFont="1" applyBorder="1" applyAlignment="1">
      <alignment horizontal="center"/>
    </xf>
    <xf numFmtId="0" fontId="22" fillId="0" borderId="1" xfId="0" applyFont="1" applyBorder="1" applyAlignment="1">
      <alignment horizontal="center"/>
    </xf>
    <xf numFmtId="0" fontId="22" fillId="0" borderId="10" xfId="0" applyFont="1" applyBorder="1" applyAlignment="1">
      <alignment horizontal="center"/>
    </xf>
    <xf numFmtId="164" fontId="22" fillId="0" borderId="1" xfId="0" applyNumberFormat="1" applyFont="1" applyBorder="1" applyAlignment="1">
      <alignment horizontal="center"/>
    </xf>
    <xf numFmtId="164" fontId="22" fillId="3" borderId="1" xfId="0" applyNumberFormat="1" applyFont="1" applyFill="1" applyBorder="1" applyAlignment="1">
      <alignment horizontal="center"/>
    </xf>
    <xf numFmtId="0" fontId="21" fillId="0" borderId="0" xfId="0" applyFont="1" applyAlignment="1">
      <alignment horizontal="center"/>
    </xf>
    <xf numFmtId="0" fontId="24" fillId="3" borderId="0" xfId="0" applyFont="1" applyFill="1"/>
    <xf numFmtId="0" fontId="22" fillId="0" borderId="0" xfId="0" applyFont="1" applyAlignment="1">
      <alignment horizontal="center"/>
    </xf>
    <xf numFmtId="0" fontId="21" fillId="0" borderId="0" xfId="0" applyFont="1"/>
    <xf numFmtId="0" fontId="21" fillId="3" borderId="0" xfId="0" applyFont="1" applyFill="1"/>
    <xf numFmtId="0" fontId="25" fillId="0" borderId="0" xfId="0" applyFont="1" applyAlignment="1">
      <alignment horizontal="center"/>
    </xf>
    <xf numFmtId="0" fontId="24" fillId="3" borderId="1" xfId="0" applyFont="1" applyFill="1" applyBorder="1" applyAlignment="1">
      <alignment wrapText="1"/>
    </xf>
    <xf numFmtId="0" fontId="21" fillId="0" borderId="1" xfId="0" applyFont="1" applyBorder="1" applyAlignment="1">
      <alignment wrapText="1"/>
    </xf>
    <xf numFmtId="0" fontId="21" fillId="3" borderId="1" xfId="0" applyFont="1" applyFill="1" applyBorder="1" applyAlignment="1">
      <alignment wrapText="1"/>
    </xf>
    <xf numFmtId="0" fontId="21" fillId="0" borderId="1" xfId="0" applyFont="1" applyBorder="1"/>
    <xf numFmtId="0" fontId="26" fillId="0" borderId="0" xfId="0" applyFont="1" applyAlignment="1">
      <alignment horizontal="center" wrapText="1"/>
    </xf>
    <xf numFmtId="0" fontId="23" fillId="3" borderId="1" xfId="0" applyFont="1" applyFill="1" applyBorder="1" applyAlignment="1">
      <alignment horizontal="center" vertical="center" wrapText="1"/>
    </xf>
    <xf numFmtId="0" fontId="26" fillId="0" borderId="3" xfId="0" applyFont="1" applyBorder="1" applyAlignment="1">
      <alignment horizontal="center" vertical="center" wrapText="1"/>
    </xf>
    <xf numFmtId="0" fontId="22" fillId="7" borderId="4" xfId="0" applyFont="1" applyFill="1" applyBorder="1" applyAlignment="1">
      <alignment horizontal="center" vertical="center" wrapText="1"/>
    </xf>
    <xf numFmtId="0" fontId="22" fillId="2" borderId="5" xfId="0" applyFont="1" applyFill="1" applyBorder="1" applyAlignment="1">
      <alignment horizontal="center" vertical="center" wrapText="1"/>
    </xf>
    <xf numFmtId="0" fontId="22" fillId="7" borderId="5" xfId="0" applyFont="1" applyFill="1" applyBorder="1" applyAlignment="1">
      <alignment horizontal="center" vertical="center" wrapText="1"/>
    </xf>
    <xf numFmtId="0" fontId="22" fillId="2" borderId="6" xfId="0" applyFont="1" applyFill="1" applyBorder="1" applyAlignment="1">
      <alignment horizontal="center" vertical="center" wrapText="1"/>
    </xf>
    <xf numFmtId="0" fontId="22" fillId="0" borderId="2" xfId="0" applyFont="1" applyBorder="1" applyAlignment="1">
      <alignment horizontal="center" vertical="center" wrapText="1"/>
    </xf>
    <xf numFmtId="0" fontId="26" fillId="0" borderId="1" xfId="0" applyFont="1" applyBorder="1" applyAlignment="1">
      <alignment horizontal="center" vertical="center" wrapText="1"/>
    </xf>
    <xf numFmtId="0" fontId="23" fillId="0" borderId="1" xfId="0" applyFont="1" applyBorder="1" applyAlignment="1">
      <alignment horizontal="center" wrapText="1"/>
    </xf>
    <xf numFmtId="14" fontId="21" fillId="7" borderId="7" xfId="0" applyNumberFormat="1" applyFont="1" applyFill="1" applyBorder="1" applyAlignment="1">
      <alignment horizontal="center" vertical="center" wrapText="1"/>
    </xf>
    <xf numFmtId="0" fontId="26" fillId="2" borderId="1" xfId="0" applyFont="1" applyFill="1" applyBorder="1" applyAlignment="1">
      <alignment horizontal="center" vertical="center" wrapText="1"/>
    </xf>
    <xf numFmtId="0" fontId="22" fillId="7" borderId="1" xfId="0" applyFont="1" applyFill="1" applyBorder="1" applyAlignment="1">
      <alignment horizontal="center" vertical="center" wrapText="1"/>
    </xf>
    <xf numFmtId="0" fontId="22" fillId="2" borderId="1" xfId="0" applyFont="1" applyFill="1" applyBorder="1" applyAlignment="1">
      <alignment horizontal="center" vertical="center" wrapText="1"/>
    </xf>
    <xf numFmtId="0" fontId="22" fillId="2" borderId="8" xfId="0" applyFont="1" applyFill="1" applyBorder="1" applyAlignment="1">
      <alignment horizontal="center" vertical="center" wrapText="1"/>
    </xf>
    <xf numFmtId="16" fontId="22" fillId="7" borderId="7" xfId="0" applyNumberFormat="1" applyFont="1" applyFill="1" applyBorder="1" applyAlignment="1">
      <alignment horizontal="center" vertical="center" wrapText="1"/>
    </xf>
    <xf numFmtId="14" fontId="21" fillId="7" borderId="1" xfId="0" applyNumberFormat="1" applyFont="1" applyFill="1" applyBorder="1" applyAlignment="1">
      <alignment horizontal="center" vertical="center" wrapText="1"/>
    </xf>
    <xf numFmtId="0" fontId="26" fillId="0" borderId="2" xfId="0" applyFont="1" applyBorder="1" applyAlignment="1">
      <alignment horizontal="center" vertical="center" wrapText="1"/>
    </xf>
    <xf numFmtId="0" fontId="25" fillId="0" borderId="1" xfId="0" applyFont="1" applyBorder="1" applyAlignment="1">
      <alignment horizontal="center" vertical="center" wrapText="1"/>
    </xf>
    <xf numFmtId="0" fontId="21" fillId="7" borderId="1" xfId="0" applyFont="1" applyFill="1" applyBorder="1" applyAlignment="1">
      <alignment horizontal="center" vertical="center" wrapText="1"/>
    </xf>
    <xf numFmtId="0" fontId="22" fillId="7" borderId="7" xfId="0" applyFont="1" applyFill="1" applyBorder="1" applyAlignment="1">
      <alignment horizontal="center" vertical="center" wrapText="1"/>
    </xf>
    <xf numFmtId="16" fontId="22" fillId="7" borderId="1" xfId="0" applyNumberFormat="1" applyFont="1" applyFill="1" applyBorder="1" applyAlignment="1">
      <alignment horizontal="center" vertical="center" wrapText="1"/>
    </xf>
    <xf numFmtId="0" fontId="21" fillId="0" borderId="5" xfId="0" applyFont="1" applyBorder="1" applyAlignment="1">
      <alignment horizontal="center" vertical="center" wrapText="1"/>
    </xf>
    <xf numFmtId="0" fontId="26" fillId="0" borderId="6" xfId="0" applyFont="1" applyBorder="1" applyAlignment="1">
      <alignment horizontal="center" vertical="center" wrapText="1"/>
    </xf>
    <xf numFmtId="14" fontId="21" fillId="7" borderId="15" xfId="0" applyNumberFormat="1" applyFont="1" applyFill="1" applyBorder="1" applyAlignment="1">
      <alignment horizontal="center" vertical="center" wrapText="1"/>
    </xf>
    <xf numFmtId="0" fontId="25" fillId="2" borderId="5" xfId="0" applyFont="1" applyFill="1" applyBorder="1" applyAlignment="1">
      <alignment horizontal="center" vertical="center" wrapText="1"/>
    </xf>
    <xf numFmtId="0" fontId="21" fillId="7" borderId="5" xfId="0" applyFont="1" applyFill="1" applyBorder="1" applyAlignment="1">
      <alignment horizontal="center" vertical="center" wrapText="1"/>
    </xf>
    <xf numFmtId="0" fontId="21" fillId="2" borderId="5" xfId="0" applyFont="1" applyFill="1" applyBorder="1" applyAlignment="1">
      <alignment horizontal="center" vertical="center" wrapText="1"/>
    </xf>
    <xf numFmtId="0" fontId="21" fillId="2" borderId="6" xfId="0" applyFont="1" applyFill="1" applyBorder="1" applyAlignment="1">
      <alignment horizontal="center" vertical="center" wrapText="1"/>
    </xf>
    <xf numFmtId="0" fontId="21" fillId="0" borderId="15" xfId="0" applyFont="1" applyBorder="1" applyAlignment="1">
      <alignment horizontal="center" vertical="center" wrapText="1"/>
    </xf>
    <xf numFmtId="0" fontId="26" fillId="0" borderId="5" xfId="0" applyFont="1" applyBorder="1" applyAlignment="1">
      <alignment horizontal="center" vertical="center" wrapText="1"/>
    </xf>
    <xf numFmtId="0" fontId="24" fillId="0" borderId="6" xfId="0" applyFont="1" applyBorder="1" applyAlignment="1">
      <alignment horizontal="center" wrapText="1"/>
    </xf>
    <xf numFmtId="0" fontId="21" fillId="0" borderId="1" xfId="0" applyFont="1" applyBorder="1" applyAlignment="1">
      <alignment horizontal="center" vertical="center" wrapText="1"/>
    </xf>
    <xf numFmtId="0" fontId="26" fillId="0" borderId="8" xfId="0" applyFont="1" applyBorder="1" applyAlignment="1">
      <alignment horizontal="center" vertical="center" wrapText="1"/>
    </xf>
    <xf numFmtId="16" fontId="21" fillId="7" borderId="2" xfId="0" applyNumberFormat="1" applyFont="1" applyFill="1" applyBorder="1" applyAlignment="1">
      <alignment horizontal="center" vertical="center" wrapText="1"/>
    </xf>
    <xf numFmtId="0" fontId="25" fillId="2" borderId="1" xfId="0" applyFont="1" applyFill="1" applyBorder="1" applyAlignment="1">
      <alignment horizontal="center" vertical="center" wrapText="1"/>
    </xf>
    <xf numFmtId="0" fontId="21" fillId="2" borderId="1" xfId="0" applyFont="1" applyFill="1" applyBorder="1" applyAlignment="1">
      <alignment horizontal="center" vertical="center" wrapText="1"/>
    </xf>
    <xf numFmtId="0" fontId="21" fillId="2" borderId="8" xfId="0" applyFont="1" applyFill="1" applyBorder="1" applyAlignment="1">
      <alignment horizontal="center" vertical="center" wrapText="1"/>
    </xf>
    <xf numFmtId="0" fontId="25" fillId="0" borderId="2" xfId="0" applyFont="1" applyBorder="1" applyAlignment="1">
      <alignment horizontal="center" vertical="center" wrapText="1"/>
    </xf>
    <xf numFmtId="0" fontId="25" fillId="0" borderId="23" xfId="0" applyFont="1" applyBorder="1" applyAlignment="1">
      <alignment horizontal="center" vertical="center" wrapText="1"/>
    </xf>
    <xf numFmtId="0" fontId="24" fillId="0" borderId="8" xfId="0" applyFont="1" applyBorder="1" applyAlignment="1">
      <alignment horizontal="center" wrapText="1"/>
    </xf>
    <xf numFmtId="0" fontId="21" fillId="7" borderId="2" xfId="0" applyFont="1" applyFill="1" applyBorder="1" applyAlignment="1">
      <alignment horizontal="center" vertical="center" wrapText="1"/>
    </xf>
    <xf numFmtId="0" fontId="21" fillId="0" borderId="2" xfId="0" applyFont="1" applyBorder="1" applyAlignment="1">
      <alignment horizontal="center" vertical="center" wrapText="1"/>
    </xf>
    <xf numFmtId="14" fontId="21" fillId="7" borderId="2" xfId="0" applyNumberFormat="1" applyFont="1" applyFill="1" applyBorder="1" applyAlignment="1">
      <alignment horizontal="center" vertical="center" wrapText="1"/>
    </xf>
    <xf numFmtId="0" fontId="24" fillId="3" borderId="10" xfId="0" applyFont="1" applyFill="1" applyBorder="1" applyAlignment="1">
      <alignment horizontal="center" vertical="center" wrapText="1"/>
    </xf>
    <xf numFmtId="0" fontId="26" fillId="0" borderId="11" xfId="0" applyFont="1" applyBorder="1" applyAlignment="1">
      <alignment horizontal="center" vertical="center" wrapText="1"/>
    </xf>
    <xf numFmtId="0" fontId="21" fillId="7" borderId="16" xfId="0" applyFont="1" applyFill="1" applyBorder="1" applyAlignment="1">
      <alignment horizontal="center" vertical="center" wrapText="1"/>
    </xf>
    <xf numFmtId="0" fontId="22" fillId="2" borderId="10" xfId="0" applyFont="1" applyFill="1" applyBorder="1" applyAlignment="1">
      <alignment horizontal="center" vertical="center" wrapText="1"/>
    </xf>
    <xf numFmtId="0" fontId="22" fillId="7" borderId="10" xfId="0" applyFont="1" applyFill="1" applyBorder="1" applyAlignment="1">
      <alignment horizontal="center" vertical="center" wrapText="1"/>
    </xf>
    <xf numFmtId="0" fontId="22" fillId="2" borderId="11" xfId="0" applyFont="1" applyFill="1" applyBorder="1" applyAlignment="1">
      <alignment horizontal="center" vertical="center" wrapText="1"/>
    </xf>
    <xf numFmtId="0" fontId="22" fillId="0" borderId="16" xfId="0" applyFont="1" applyBorder="1" applyAlignment="1">
      <alignment horizontal="center" vertical="center" wrapText="1"/>
    </xf>
    <xf numFmtId="0" fontId="26" fillId="0" borderId="10" xfId="0" applyFont="1" applyBorder="1" applyAlignment="1">
      <alignment horizontal="center" vertical="center" wrapText="1"/>
    </xf>
    <xf numFmtId="0" fontId="23" fillId="0" borderId="11" xfId="0" applyFont="1" applyBorder="1" applyAlignment="1">
      <alignment horizontal="center" wrapText="1"/>
    </xf>
    <xf numFmtId="0" fontId="25" fillId="0" borderId="0" xfId="0" applyFont="1" applyAlignment="1">
      <alignment horizontal="center" wrapText="1"/>
    </xf>
    <xf numFmtId="0" fontId="24" fillId="3" borderId="5" xfId="0" applyFont="1" applyFill="1" applyBorder="1" applyAlignment="1">
      <alignment horizontal="center"/>
    </xf>
    <xf numFmtId="0" fontId="22" fillId="3" borderId="13" xfId="0" applyFont="1" applyFill="1" applyBorder="1" applyAlignment="1">
      <alignment horizontal="center"/>
    </xf>
    <xf numFmtId="0" fontId="21" fillId="7" borderId="4" xfId="0" applyFont="1" applyFill="1" applyBorder="1" applyAlignment="1">
      <alignment horizontal="center"/>
    </xf>
    <xf numFmtId="0" fontId="21" fillId="2" borderId="5" xfId="0" applyFont="1" applyFill="1" applyBorder="1" applyAlignment="1">
      <alignment horizontal="center"/>
    </xf>
    <xf numFmtId="0" fontId="21" fillId="7" borderId="5" xfId="0" applyFont="1" applyFill="1" applyBorder="1" applyAlignment="1">
      <alignment horizontal="center"/>
    </xf>
    <xf numFmtId="0" fontId="21" fillId="7" borderId="5" xfId="0" applyFont="1" applyFill="1" applyBorder="1"/>
    <xf numFmtId="0" fontId="21" fillId="2" borderId="6" xfId="0" applyFont="1" applyFill="1" applyBorder="1"/>
    <xf numFmtId="0" fontId="21" fillId="3" borderId="15" xfId="0" applyFont="1" applyFill="1" applyBorder="1"/>
    <xf numFmtId="0" fontId="21" fillId="3" borderId="5" xfId="0" applyFont="1" applyFill="1" applyBorder="1"/>
    <xf numFmtId="0" fontId="24" fillId="3" borderId="6" xfId="0" applyFont="1" applyFill="1" applyBorder="1" applyAlignment="1">
      <alignment horizontal="center"/>
    </xf>
    <xf numFmtId="0" fontId="22" fillId="3" borderId="3" xfId="0" applyFont="1" applyFill="1" applyBorder="1" applyAlignment="1">
      <alignment horizontal="center"/>
    </xf>
    <xf numFmtId="0" fontId="21" fillId="7" borderId="7" xfId="0" applyFont="1" applyFill="1" applyBorder="1" applyAlignment="1">
      <alignment horizontal="center"/>
    </xf>
    <xf numFmtId="0" fontId="21" fillId="2" borderId="1" xfId="0" applyFont="1" applyFill="1" applyBorder="1" applyAlignment="1">
      <alignment horizontal="center"/>
    </xf>
    <xf numFmtId="0" fontId="21" fillId="7" borderId="1" xfId="0" applyFont="1" applyFill="1" applyBorder="1" applyAlignment="1">
      <alignment horizontal="center"/>
    </xf>
    <xf numFmtId="0" fontId="21" fillId="7" borderId="1" xfId="0" applyFont="1" applyFill="1" applyBorder="1"/>
    <xf numFmtId="0" fontId="21" fillId="2" borderId="8" xfId="0" applyFont="1" applyFill="1" applyBorder="1"/>
    <xf numFmtId="0" fontId="21" fillId="3" borderId="2" xfId="0" applyFont="1" applyFill="1" applyBorder="1"/>
    <xf numFmtId="0" fontId="21" fillId="3" borderId="1" xfId="0" applyFont="1" applyFill="1" applyBorder="1"/>
    <xf numFmtId="0" fontId="24" fillId="3" borderId="8" xfId="0" applyFont="1" applyFill="1" applyBorder="1" applyAlignment="1">
      <alignment horizontal="center"/>
    </xf>
    <xf numFmtId="0" fontId="26" fillId="3" borderId="3" xfId="0" applyFont="1" applyFill="1" applyBorder="1" applyAlignment="1">
      <alignment horizontal="center"/>
    </xf>
    <xf numFmtId="0" fontId="26" fillId="3" borderId="1" xfId="0" applyFont="1" applyFill="1" applyBorder="1" applyAlignment="1">
      <alignment horizontal="center"/>
    </xf>
    <xf numFmtId="15" fontId="22" fillId="7" borderId="7" xfId="0" applyNumberFormat="1" applyFont="1" applyFill="1" applyBorder="1" applyAlignment="1">
      <alignment horizontal="center"/>
    </xf>
    <xf numFmtId="15" fontId="21" fillId="7" borderId="7" xfId="0" applyNumberFormat="1" applyFont="1" applyFill="1" applyBorder="1" applyAlignment="1">
      <alignment horizontal="center"/>
    </xf>
    <xf numFmtId="0" fontId="22" fillId="3" borderId="14" xfId="0" applyFont="1" applyFill="1" applyBorder="1" applyAlignment="1">
      <alignment horizontal="center"/>
    </xf>
    <xf numFmtId="16" fontId="21" fillId="7" borderId="9" xfId="0" applyNumberFormat="1" applyFont="1" applyFill="1" applyBorder="1" applyAlignment="1">
      <alignment horizontal="center"/>
    </xf>
    <xf numFmtId="0" fontId="25" fillId="2" borderId="10" xfId="0" applyFont="1" applyFill="1" applyBorder="1" applyAlignment="1">
      <alignment horizontal="center"/>
    </xf>
    <xf numFmtId="14" fontId="21" fillId="7" borderId="10" xfId="0" applyNumberFormat="1" applyFont="1" applyFill="1" applyBorder="1" applyAlignment="1">
      <alignment horizontal="center"/>
    </xf>
    <xf numFmtId="0" fontId="21" fillId="7" borderId="10" xfId="0" applyFont="1" applyFill="1" applyBorder="1" applyAlignment="1">
      <alignment horizontal="center"/>
    </xf>
    <xf numFmtId="0" fontId="21" fillId="2" borderId="10" xfId="0" applyFont="1" applyFill="1" applyBorder="1" applyAlignment="1">
      <alignment horizontal="center"/>
    </xf>
    <xf numFmtId="0" fontId="21" fillId="7" borderId="10" xfId="0" applyFont="1" applyFill="1" applyBorder="1"/>
    <xf numFmtId="0" fontId="21" fillId="2" borderId="11" xfId="0" applyFont="1" applyFill="1" applyBorder="1"/>
    <xf numFmtId="0" fontId="21" fillId="3" borderId="16" xfId="0" applyFont="1" applyFill="1" applyBorder="1"/>
    <xf numFmtId="0" fontId="21" fillId="3" borderId="10" xfId="0" applyFont="1" applyFill="1" applyBorder="1"/>
    <xf numFmtId="0" fontId="26" fillId="3" borderId="10" xfId="0" applyFont="1" applyFill="1" applyBorder="1" applyAlignment="1">
      <alignment horizontal="center"/>
    </xf>
    <xf numFmtId="0" fontId="24" fillId="3" borderId="11" xfId="0" applyFont="1" applyFill="1" applyBorder="1" applyAlignment="1">
      <alignment horizontal="center"/>
    </xf>
    <xf numFmtId="0" fontId="22" fillId="3" borderId="15" xfId="0" applyFont="1" applyFill="1" applyBorder="1"/>
    <xf numFmtId="0" fontId="22" fillId="3" borderId="5" xfId="0" applyFont="1" applyFill="1" applyBorder="1"/>
    <xf numFmtId="0" fontId="23" fillId="3" borderId="6" xfId="0" applyFont="1" applyFill="1" applyBorder="1" applyAlignment="1">
      <alignment horizontal="center"/>
    </xf>
    <xf numFmtId="0" fontId="22" fillId="3" borderId="2" xfId="0" applyFont="1" applyFill="1" applyBorder="1"/>
    <xf numFmtId="0" fontId="22" fillId="3" borderId="1" xfId="0" applyFont="1" applyFill="1" applyBorder="1"/>
    <xf numFmtId="0" fontId="23" fillId="3" borderId="8" xfId="0" applyFont="1" applyFill="1" applyBorder="1" applyAlignment="1">
      <alignment horizontal="center"/>
    </xf>
    <xf numFmtId="0" fontId="22" fillId="3" borderId="27" xfId="0" applyFont="1" applyFill="1" applyBorder="1" applyAlignment="1">
      <alignment horizontal="center"/>
    </xf>
    <xf numFmtId="0" fontId="21" fillId="7" borderId="24" xfId="0" applyFont="1" applyFill="1" applyBorder="1" applyAlignment="1">
      <alignment horizontal="center"/>
    </xf>
    <xf numFmtId="0" fontId="21" fillId="2" borderId="26" xfId="0" applyFont="1" applyFill="1" applyBorder="1" applyAlignment="1">
      <alignment horizontal="center"/>
    </xf>
    <xf numFmtId="0" fontId="21" fillId="7" borderId="26" xfId="0" applyFont="1" applyFill="1" applyBorder="1" applyAlignment="1">
      <alignment horizontal="center"/>
    </xf>
    <xf numFmtId="0" fontId="21" fillId="7" borderId="26" xfId="0" applyFont="1" applyFill="1" applyBorder="1"/>
    <xf numFmtId="0" fontId="21" fillId="2" borderId="28" xfId="0" applyFont="1" applyFill="1" applyBorder="1"/>
    <xf numFmtId="0" fontId="22" fillId="3" borderId="29" xfId="0" applyFont="1" applyFill="1" applyBorder="1"/>
    <xf numFmtId="0" fontId="22" fillId="3" borderId="26" xfId="0" applyFont="1" applyFill="1" applyBorder="1"/>
    <xf numFmtId="0" fontId="23" fillId="3" borderId="28" xfId="0" applyFont="1" applyFill="1" applyBorder="1" applyAlignment="1">
      <alignment horizontal="center"/>
    </xf>
    <xf numFmtId="0" fontId="21" fillId="7" borderId="9" xfId="0" applyFont="1" applyFill="1" applyBorder="1" applyAlignment="1">
      <alignment horizontal="center"/>
    </xf>
    <xf numFmtId="0" fontId="22" fillId="3" borderId="16" xfId="0" applyFont="1" applyFill="1" applyBorder="1"/>
    <xf numFmtId="0" fontId="22" fillId="3" borderId="10" xfId="0" applyFont="1" applyFill="1" applyBorder="1"/>
    <xf numFmtId="0" fontId="23" fillId="3" borderId="11" xfId="0" applyFont="1" applyFill="1" applyBorder="1" applyAlignment="1">
      <alignment horizontal="center"/>
    </xf>
    <xf numFmtId="0" fontId="26" fillId="3" borderId="13" xfId="0" applyFont="1" applyFill="1" applyBorder="1" applyAlignment="1">
      <alignment horizontal="center"/>
    </xf>
    <xf numFmtId="0" fontId="25" fillId="2" borderId="5" xfId="0" applyFont="1" applyFill="1" applyBorder="1" applyAlignment="1">
      <alignment horizontal="center"/>
    </xf>
    <xf numFmtId="14" fontId="21" fillId="7" borderId="5" xfId="0" applyNumberFormat="1" applyFont="1" applyFill="1" applyBorder="1" applyAlignment="1">
      <alignment horizontal="center"/>
    </xf>
    <xf numFmtId="0" fontId="26" fillId="3" borderId="5" xfId="0" applyFont="1" applyFill="1" applyBorder="1" applyAlignment="1">
      <alignment horizontal="center"/>
    </xf>
    <xf numFmtId="0" fontId="25" fillId="2" borderId="1" xfId="0" applyFont="1" applyFill="1" applyBorder="1" applyAlignment="1">
      <alignment horizontal="center"/>
    </xf>
    <xf numFmtId="0" fontId="24" fillId="3" borderId="1" xfId="0" applyFont="1" applyFill="1" applyBorder="1"/>
    <xf numFmtId="0" fontId="25" fillId="3" borderId="2" xfId="0" applyFont="1" applyFill="1" applyBorder="1"/>
    <xf numFmtId="0" fontId="25" fillId="3" borderId="1" xfId="0" applyFont="1" applyFill="1" applyBorder="1"/>
    <xf numFmtId="14" fontId="21" fillId="7" borderId="7" xfId="0" applyNumberFormat="1" applyFont="1" applyFill="1" applyBorder="1" applyAlignment="1">
      <alignment horizontal="center"/>
    </xf>
    <xf numFmtId="0" fontId="25" fillId="7" borderId="7" xfId="0" applyFont="1" applyFill="1" applyBorder="1" applyAlignment="1">
      <alignment horizontal="center"/>
    </xf>
    <xf numFmtId="0" fontId="24" fillId="3" borderId="26" xfId="0" applyFont="1" applyFill="1" applyBorder="1"/>
    <xf numFmtId="0" fontId="21" fillId="7" borderId="29" xfId="0" applyFont="1" applyFill="1" applyBorder="1" applyAlignment="1">
      <alignment horizontal="center"/>
    </xf>
    <xf numFmtId="0" fontId="25" fillId="2" borderId="26" xfId="0" applyFont="1" applyFill="1" applyBorder="1" applyAlignment="1">
      <alignment horizontal="center"/>
    </xf>
    <xf numFmtId="0" fontId="21" fillId="3" borderId="29" xfId="0" applyFont="1" applyFill="1" applyBorder="1"/>
    <xf numFmtId="0" fontId="21" fillId="3" borderId="26" xfId="0" applyFont="1" applyFill="1" applyBorder="1"/>
    <xf numFmtId="0" fontId="26" fillId="3" borderId="26" xfId="0" applyFont="1" applyFill="1" applyBorder="1" applyAlignment="1">
      <alignment horizontal="center"/>
    </xf>
    <xf numFmtId="0" fontId="24" fillId="3" borderId="10" xfId="0" applyFont="1" applyFill="1" applyBorder="1"/>
    <xf numFmtId="0" fontId="26" fillId="3" borderId="14" xfId="0" applyFont="1" applyFill="1" applyBorder="1" applyAlignment="1">
      <alignment horizontal="center"/>
    </xf>
    <xf numFmtId="0" fontId="24" fillId="3" borderId="5" xfId="0" applyFont="1" applyFill="1" applyBorder="1"/>
    <xf numFmtId="0" fontId="22" fillId="7" borderId="7" xfId="0" applyFont="1" applyFill="1" applyBorder="1"/>
    <xf numFmtId="0" fontId="22" fillId="2" borderId="1" xfId="0" applyFont="1" applyFill="1" applyBorder="1"/>
    <xf numFmtId="0" fontId="22" fillId="7" borderId="1" xfId="0" applyFont="1" applyFill="1" applyBorder="1"/>
    <xf numFmtId="0" fontId="22" fillId="2" borderId="8" xfId="0" applyFont="1" applyFill="1" applyBorder="1"/>
    <xf numFmtId="0" fontId="21" fillId="7" borderId="7" xfId="0" applyFont="1" applyFill="1" applyBorder="1"/>
    <xf numFmtId="0" fontId="21" fillId="2" borderId="1" xfId="0" applyFont="1" applyFill="1" applyBorder="1"/>
    <xf numFmtId="0" fontId="22" fillId="7" borderId="7" xfId="0" applyFont="1" applyFill="1" applyBorder="1" applyAlignment="1">
      <alignment horizontal="center"/>
    </xf>
    <xf numFmtId="0" fontId="21" fillId="7" borderId="9" xfId="0" applyFont="1" applyFill="1" applyBorder="1"/>
    <xf numFmtId="0" fontId="21" fillId="2" borderId="10" xfId="0" applyFont="1" applyFill="1" applyBorder="1"/>
    <xf numFmtId="0" fontId="25" fillId="3" borderId="0" xfId="0" applyFont="1" applyFill="1" applyAlignment="1">
      <alignment horizontal="center"/>
    </xf>
    <xf numFmtId="0" fontId="23" fillId="3" borderId="15" xfId="0" applyFont="1" applyFill="1" applyBorder="1"/>
    <xf numFmtId="0" fontId="23" fillId="3" borderId="5" xfId="0" applyFont="1" applyFill="1" applyBorder="1"/>
    <xf numFmtId="0" fontId="23" fillId="3" borderId="2" xfId="0" applyFont="1" applyFill="1" applyBorder="1"/>
    <xf numFmtId="0" fontId="23" fillId="3" borderId="1" xfId="0" applyFont="1" applyFill="1" applyBorder="1"/>
    <xf numFmtId="0" fontId="26" fillId="3" borderId="1" xfId="0" applyFont="1" applyFill="1" applyBorder="1"/>
    <xf numFmtId="0" fontId="23" fillId="3" borderId="16" xfId="0" applyFont="1" applyFill="1" applyBorder="1"/>
    <xf numFmtId="0" fontId="23" fillId="3" borderId="10" xfId="0" applyFont="1" applyFill="1" applyBorder="1"/>
    <xf numFmtId="0" fontId="25" fillId="3" borderId="17" xfId="0" applyFont="1" applyFill="1" applyBorder="1" applyAlignment="1">
      <alignment horizontal="center"/>
    </xf>
    <xf numFmtId="0" fontId="26" fillId="3" borderId="5" xfId="0" applyFont="1" applyFill="1" applyBorder="1"/>
    <xf numFmtId="16" fontId="21" fillId="7" borderId="7" xfId="0" applyNumberFormat="1" applyFont="1" applyFill="1" applyBorder="1" applyAlignment="1">
      <alignment horizontal="center"/>
    </xf>
    <xf numFmtId="14" fontId="21" fillId="7" borderId="1" xfId="0" applyNumberFormat="1" applyFont="1" applyFill="1" applyBorder="1" applyAlignment="1">
      <alignment horizontal="center"/>
    </xf>
    <xf numFmtId="14" fontId="21" fillId="7" borderId="24" xfId="0" applyNumberFormat="1" applyFont="1" applyFill="1" applyBorder="1" applyAlignment="1">
      <alignment horizontal="center"/>
    </xf>
    <xf numFmtId="16" fontId="21" fillId="7" borderId="2" xfId="0" applyNumberFormat="1" applyFont="1" applyFill="1" applyBorder="1" applyAlignment="1">
      <alignment horizontal="center"/>
    </xf>
    <xf numFmtId="0" fontId="21" fillId="7" borderId="25" xfId="0" applyFont="1" applyFill="1" applyBorder="1" applyAlignment="1">
      <alignment horizontal="center"/>
    </xf>
    <xf numFmtId="0" fontId="25" fillId="3" borderId="19" xfId="0" applyFont="1" applyFill="1" applyBorder="1" applyAlignment="1">
      <alignment horizontal="center"/>
    </xf>
    <xf numFmtId="0" fontId="21" fillId="7" borderId="4" xfId="0" applyFont="1" applyFill="1" applyBorder="1"/>
    <xf numFmtId="0" fontId="26" fillId="2" borderId="5" xfId="0" applyFont="1" applyFill="1" applyBorder="1"/>
    <xf numFmtId="0" fontId="21" fillId="2" borderId="5" xfId="0" applyFont="1" applyFill="1" applyBorder="1"/>
    <xf numFmtId="0" fontId="21" fillId="0" borderId="15" xfId="0" applyFont="1" applyBorder="1"/>
    <xf numFmtId="0" fontId="21" fillId="0" borderId="5" xfId="0" applyFont="1" applyBorder="1"/>
    <xf numFmtId="0" fontId="26" fillId="0" borderId="5" xfId="0" applyFont="1" applyBorder="1"/>
    <xf numFmtId="0" fontId="21" fillId="0" borderId="2" xfId="0" applyFont="1" applyBorder="1"/>
    <xf numFmtId="0" fontId="26" fillId="0" borderId="1" xfId="0" applyFont="1" applyBorder="1"/>
    <xf numFmtId="0" fontId="24" fillId="0" borderId="8" xfId="0" applyFont="1" applyBorder="1" applyAlignment="1">
      <alignment horizontal="center"/>
    </xf>
    <xf numFmtId="0" fontId="24" fillId="3" borderId="1" xfId="0" applyFont="1" applyFill="1" applyBorder="1" applyAlignment="1">
      <alignment horizontal="center" vertical="center" wrapText="1"/>
    </xf>
    <xf numFmtId="0" fontId="21" fillId="7" borderId="7" xfId="0" applyFont="1" applyFill="1" applyBorder="1" applyAlignment="1">
      <alignment horizontal="center" vertical="center" wrapText="1"/>
    </xf>
    <xf numFmtId="0" fontId="22" fillId="0" borderId="1" xfId="0" applyFont="1" applyBorder="1"/>
    <xf numFmtId="0" fontId="22" fillId="0" borderId="3" xfId="0" applyFont="1" applyBorder="1" applyAlignment="1">
      <alignment horizontal="center"/>
    </xf>
    <xf numFmtId="0" fontId="25" fillId="2" borderId="1" xfId="0" applyFont="1" applyFill="1" applyBorder="1"/>
    <xf numFmtId="0" fontId="26" fillId="0" borderId="3" xfId="0" applyFont="1" applyBorder="1" applyAlignment="1">
      <alignment horizontal="center"/>
    </xf>
    <xf numFmtId="0" fontId="26" fillId="0" borderId="14" xfId="0" applyFont="1" applyBorder="1" applyAlignment="1">
      <alignment horizontal="center"/>
    </xf>
    <xf numFmtId="0" fontId="21" fillId="0" borderId="16" xfId="0" applyFont="1" applyBorder="1"/>
    <xf numFmtId="0" fontId="21" fillId="0" borderId="10" xfId="0" applyFont="1" applyBorder="1"/>
    <xf numFmtId="0" fontId="26" fillId="0" borderId="10" xfId="0" applyFont="1" applyBorder="1"/>
    <xf numFmtId="0" fontId="24" fillId="3" borderId="5" xfId="0" applyFont="1" applyFill="1" applyBorder="1" applyAlignment="1">
      <alignment horizontal="center" vertical="center" wrapText="1"/>
    </xf>
    <xf numFmtId="0" fontId="22" fillId="0" borderId="13" xfId="0" applyFont="1" applyBorder="1" applyAlignment="1">
      <alignment horizontal="center"/>
    </xf>
    <xf numFmtId="0" fontId="21" fillId="7" borderId="4" xfId="0" applyFont="1" applyFill="1" applyBorder="1" applyAlignment="1">
      <alignment horizontal="center" vertical="center" wrapText="1"/>
    </xf>
    <xf numFmtId="0" fontId="22" fillId="0" borderId="3" xfId="0" applyFont="1" applyBorder="1" applyAlignment="1">
      <alignment horizontal="center" vertical="center" wrapText="1"/>
    </xf>
    <xf numFmtId="0" fontId="22" fillId="0" borderId="14" xfId="0" applyFont="1" applyBorder="1" applyAlignment="1">
      <alignment horizontal="center" vertical="center" wrapText="1"/>
    </xf>
    <xf numFmtId="0" fontId="21" fillId="7" borderId="9" xfId="0" applyFont="1" applyFill="1" applyBorder="1" applyAlignment="1">
      <alignment horizontal="center" vertical="center" wrapText="1"/>
    </xf>
    <xf numFmtId="0" fontId="21" fillId="2" borderId="10" xfId="0" applyFont="1" applyFill="1" applyBorder="1" applyAlignment="1">
      <alignment horizontal="center" vertical="center" wrapText="1"/>
    </xf>
    <xf numFmtId="0" fontId="21" fillId="7" borderId="10" xfId="0" applyFont="1" applyFill="1" applyBorder="1" applyAlignment="1">
      <alignment horizontal="center" vertical="center" wrapText="1"/>
    </xf>
    <xf numFmtId="0" fontId="21" fillId="2" borderId="11" xfId="0" applyFont="1" applyFill="1" applyBorder="1" applyAlignment="1">
      <alignment horizontal="center" vertical="center" wrapText="1"/>
    </xf>
    <xf numFmtId="0" fontId="21" fillId="0" borderId="16" xfId="0" applyFont="1" applyBorder="1" applyAlignment="1">
      <alignment horizontal="center" vertical="center" wrapText="1"/>
    </xf>
    <xf numFmtId="0" fontId="21" fillId="0" borderId="10" xfId="0" applyFont="1" applyBorder="1" applyAlignment="1">
      <alignment horizontal="center" vertical="center" wrapText="1"/>
    </xf>
    <xf numFmtId="0" fontId="24" fillId="0" borderId="31" xfId="0" applyFont="1" applyBorder="1" applyAlignment="1">
      <alignment horizontal="center" wrapText="1"/>
    </xf>
    <xf numFmtId="0" fontId="22" fillId="7" borderId="4" xfId="0" applyFont="1" applyFill="1" applyBorder="1"/>
    <xf numFmtId="0" fontId="22" fillId="2" borderId="5" xfId="0" applyFont="1" applyFill="1" applyBorder="1"/>
    <xf numFmtId="0" fontId="26" fillId="0" borderId="13" xfId="0" applyFont="1" applyBorder="1" applyAlignment="1">
      <alignment horizontal="center"/>
    </xf>
    <xf numFmtId="0" fontId="24" fillId="0" borderId="30" xfId="0" applyFont="1" applyBorder="1" applyAlignment="1">
      <alignment horizontal="center"/>
    </xf>
    <xf numFmtId="0" fontId="23" fillId="3" borderId="3" xfId="0" applyFont="1" applyFill="1" applyBorder="1" applyAlignment="1">
      <alignment horizontal="center"/>
    </xf>
    <xf numFmtId="0" fontId="24" fillId="0" borderId="30" xfId="0" applyFont="1" applyBorder="1" applyAlignment="1">
      <alignment horizontal="center" wrapText="1"/>
    </xf>
    <xf numFmtId="0" fontId="27" fillId="0" borderId="1" xfId="0" applyFont="1" applyBorder="1"/>
    <xf numFmtId="0" fontId="4" fillId="3" borderId="1" xfId="0" applyFont="1" applyFill="1" applyBorder="1"/>
    <xf numFmtId="0" fontId="2" fillId="3" borderId="15" xfId="0" applyFont="1" applyFill="1" applyBorder="1"/>
    <xf numFmtId="0" fontId="2" fillId="3" borderId="2" xfId="0" applyFont="1" applyFill="1" applyBorder="1"/>
    <xf numFmtId="0" fontId="2" fillId="3" borderId="16" xfId="0" applyFont="1" applyFill="1" applyBorder="1"/>
    <xf numFmtId="0" fontId="7" fillId="0" borderId="1" xfId="0" applyFont="1" applyBorder="1"/>
    <xf numFmtId="0" fontId="4" fillId="0" borderId="1" xfId="0" applyFont="1" applyBorder="1"/>
    <xf numFmtId="0" fontId="1" fillId="0" borderId="2" xfId="0" applyFont="1" applyBorder="1"/>
    <xf numFmtId="0" fontId="1" fillId="0" borderId="2" xfId="0" applyFont="1" applyBorder="1" applyAlignment="1">
      <alignment vertical="center" wrapText="1"/>
    </xf>
    <xf numFmtId="0" fontId="5" fillId="3" borderId="2" xfId="0" applyFont="1" applyFill="1" applyBorder="1"/>
    <xf numFmtId="0" fontId="1" fillId="0" borderId="15" xfId="0" applyFont="1" applyBorder="1" applyAlignment="1">
      <alignment vertical="center" wrapText="1"/>
    </xf>
    <xf numFmtId="0" fontId="1" fillId="0" borderId="16" xfId="0" applyFont="1" applyBorder="1" applyAlignment="1">
      <alignment vertical="center" wrapText="1"/>
    </xf>
    <xf numFmtId="0" fontId="5" fillId="3" borderId="15" xfId="0" applyFont="1" applyFill="1" applyBorder="1"/>
    <xf numFmtId="0" fontId="1" fillId="3" borderId="2" xfId="0" applyFont="1" applyFill="1" applyBorder="1"/>
    <xf numFmtId="0" fontId="5" fillId="3" borderId="16" xfId="0" applyFont="1" applyFill="1" applyBorder="1"/>
    <xf numFmtId="0" fontId="5" fillId="3" borderId="29" xfId="0" applyFont="1" applyFill="1" applyBorder="1"/>
    <xf numFmtId="0" fontId="1" fillId="0" borderId="16" xfId="0" applyFont="1" applyBorder="1"/>
    <xf numFmtId="0" fontId="1" fillId="0" borderId="15" xfId="0" applyFont="1" applyBorder="1"/>
    <xf numFmtId="0" fontId="18" fillId="3" borderId="18" xfId="0" applyFont="1" applyFill="1" applyBorder="1" applyAlignment="1">
      <alignment horizontal="left" vertical="center" wrapText="1"/>
    </xf>
    <xf numFmtId="0" fontId="18" fillId="3" borderId="21" xfId="0" applyFont="1" applyFill="1" applyBorder="1" applyAlignment="1">
      <alignment horizontal="left" vertical="center" wrapText="1"/>
    </xf>
    <xf numFmtId="0" fontId="17" fillId="0" borderId="0" xfId="0" applyFont="1" applyAlignment="1">
      <alignment horizontal="left" vertical="center" wrapText="1"/>
    </xf>
    <xf numFmtId="0" fontId="18" fillId="3" borderId="0" xfId="0" applyFont="1" applyFill="1" applyAlignment="1">
      <alignment horizontal="left" vertical="center" wrapText="1"/>
    </xf>
    <xf numFmtId="0" fontId="18" fillId="3" borderId="23" xfId="0" applyFont="1" applyFill="1" applyBorder="1" applyAlignment="1">
      <alignment horizontal="left" vertical="center" wrapText="1"/>
    </xf>
    <xf numFmtId="0" fontId="17" fillId="0" borderId="20" xfId="0" applyFont="1" applyBorder="1" applyAlignment="1">
      <alignment horizontal="left" vertical="center" wrapText="1"/>
    </xf>
    <xf numFmtId="0" fontId="17" fillId="0" borderId="21" xfId="0" applyFont="1" applyBorder="1" applyAlignment="1">
      <alignment horizontal="left" vertical="center" wrapText="1"/>
    </xf>
    <xf numFmtId="0" fontId="18" fillId="3" borderId="22" xfId="0" applyFont="1" applyFill="1" applyBorder="1" applyAlignment="1">
      <alignment horizontal="left" vertical="center" wrapText="1"/>
    </xf>
    <xf numFmtId="0" fontId="11" fillId="3" borderId="0" xfId="0" applyFont="1" applyFill="1" applyAlignment="1">
      <alignment horizontal="left" vertical="center" wrapText="1"/>
    </xf>
    <xf numFmtId="0" fontId="9" fillId="0" borderId="0" xfId="0" applyFont="1" applyAlignment="1">
      <alignment horizontal="left" vertical="center" wrapText="1"/>
    </xf>
    <xf numFmtId="0" fontId="10" fillId="3" borderId="0" xfId="0" applyFont="1" applyFill="1" applyAlignment="1">
      <alignment horizontal="left" vertical="center" wrapText="1"/>
    </xf>
    <xf numFmtId="0" fontId="5" fillId="3" borderId="0" xfId="0" applyFont="1" applyFill="1" applyAlignment="1">
      <alignment horizontal="left" vertical="center" wrapText="1"/>
    </xf>
    <xf numFmtId="0" fontId="5" fillId="3" borderId="23"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AX127"/>
  <sheetViews>
    <sheetView showGridLines="0" showRowColHeaders="0" tabSelected="1" topLeftCell="A17" zoomScaleNormal="100" zoomScalePageLayoutView="120" workbookViewId="0">
      <selection activeCell="B129" sqref="B129"/>
    </sheetView>
  </sheetViews>
  <sheetFormatPr defaultRowHeight="15.6" x14ac:dyDescent="0.3"/>
  <cols>
    <col min="1" max="1" width="5.33203125" style="31" customWidth="1"/>
    <col min="2" max="2" width="37.5546875" style="4" customWidth="1"/>
    <col min="3" max="3" width="5.6640625" style="112" customWidth="1"/>
    <col min="4" max="4" width="12.6640625" style="113" customWidth="1"/>
    <col min="5" max="5" width="6.6640625" style="114" customWidth="1"/>
    <col min="6" max="6" width="8.88671875" style="115" customWidth="1"/>
    <col min="7" max="7" width="5.5546875" style="116" customWidth="1"/>
    <col min="8" max="8" width="8.88671875" style="115" customWidth="1"/>
    <col min="9" max="9" width="5.5546875" style="116" customWidth="1"/>
    <col min="10" max="10" width="8.88671875" style="115" customWidth="1"/>
    <col min="11" max="11" width="5.5546875" style="116" customWidth="1"/>
    <col min="12" max="12" width="8.88671875" style="115" customWidth="1"/>
    <col min="13" max="13" width="5.5546875" style="116" customWidth="1"/>
    <col min="14" max="14" width="4.77734375" style="115" customWidth="1"/>
    <col min="15" max="15" width="7.21875" style="115" customWidth="1"/>
    <col min="16" max="16" width="6.6640625" style="115" customWidth="1"/>
    <col min="17" max="17" width="6.88671875" style="115" customWidth="1"/>
    <col min="18" max="18" width="6.6640625" style="115" customWidth="1"/>
    <col min="19" max="19" width="6.88671875" style="115" customWidth="1"/>
    <col min="20" max="20" width="6.6640625" style="115" customWidth="1"/>
    <col min="21" max="21" width="6.88671875" style="115" customWidth="1"/>
    <col min="22" max="22" width="6.6640625" style="115" customWidth="1"/>
    <col min="23" max="23" width="6.88671875" style="115" customWidth="1"/>
    <col min="24" max="24" width="6.6640625" style="115" customWidth="1"/>
    <col min="25" max="25" width="6.88671875" style="115" customWidth="1"/>
    <col min="26" max="26" width="6.6640625" style="115" customWidth="1"/>
    <col min="27" max="27" width="6.88671875" style="115" customWidth="1"/>
    <col min="28" max="28" width="6.6640625" style="115" customWidth="1"/>
    <col min="29" max="29" width="6.88671875" style="115" customWidth="1"/>
    <col min="30" max="30" width="6.6640625" style="115" customWidth="1"/>
    <col min="31" max="31" width="6.88671875" style="115" customWidth="1"/>
    <col min="32" max="32" width="6.6640625" style="115" customWidth="1"/>
    <col min="33" max="33" width="6.88671875" style="115" customWidth="1"/>
    <col min="34" max="34" width="6.6640625" style="115" customWidth="1"/>
    <col min="35" max="35" width="6.88671875" style="115" customWidth="1"/>
    <col min="36" max="36" width="6.6640625" style="115" customWidth="1"/>
    <col min="37" max="37" width="6.88671875" style="115" customWidth="1"/>
    <col min="38" max="38" width="6.6640625" style="115" customWidth="1"/>
    <col min="39" max="39" width="7.109375" style="115" customWidth="1"/>
    <col min="40" max="40" width="6.6640625" style="115" customWidth="1"/>
    <col min="41" max="41" width="7.109375" style="115" customWidth="1"/>
    <col min="42" max="42" width="6.6640625" style="115" customWidth="1"/>
    <col min="43" max="43" width="7.109375" style="115" customWidth="1"/>
    <col min="44" max="44" width="6.6640625" style="115" customWidth="1"/>
    <col min="45" max="45" width="6.6640625" style="117" customWidth="1"/>
    <col min="46" max="46" width="42.21875" style="2" customWidth="1"/>
    <col min="47" max="49" width="8.6640625" style="31" customWidth="1"/>
    <col min="50" max="16384" width="8.88671875" style="31"/>
  </cols>
  <sheetData>
    <row r="1" spans="1:46" x14ac:dyDescent="0.3">
      <c r="A1" s="36"/>
      <c r="B1" s="86" t="s">
        <v>57</v>
      </c>
      <c r="C1" s="90"/>
    </row>
    <row r="2" spans="1:46" s="34" customFormat="1" ht="33" customHeight="1" x14ac:dyDescent="0.3">
      <c r="A2" s="317"/>
      <c r="B2" s="318" t="s">
        <v>2</v>
      </c>
      <c r="C2" s="91" t="s">
        <v>21</v>
      </c>
      <c r="D2" s="118" t="s">
        <v>97</v>
      </c>
      <c r="E2" s="108" t="s">
        <v>3</v>
      </c>
      <c r="F2" s="119" t="s">
        <v>4</v>
      </c>
      <c r="G2" s="120" t="s">
        <v>3</v>
      </c>
      <c r="H2" s="119" t="s">
        <v>4</v>
      </c>
      <c r="I2" s="120" t="s">
        <v>3</v>
      </c>
      <c r="J2" s="119" t="s">
        <v>4</v>
      </c>
      <c r="K2" s="120" t="s">
        <v>3</v>
      </c>
      <c r="L2" s="119" t="s">
        <v>4</v>
      </c>
      <c r="M2" s="120" t="s">
        <v>3</v>
      </c>
      <c r="N2" s="119" t="s">
        <v>5</v>
      </c>
      <c r="O2" s="119" t="s">
        <v>6</v>
      </c>
      <c r="P2" s="119" t="s">
        <v>5</v>
      </c>
      <c r="Q2" s="119" t="s">
        <v>6</v>
      </c>
      <c r="R2" s="119" t="s">
        <v>5</v>
      </c>
      <c r="S2" s="119" t="s">
        <v>6</v>
      </c>
      <c r="T2" s="119" t="s">
        <v>5</v>
      </c>
      <c r="U2" s="119" t="s">
        <v>6</v>
      </c>
      <c r="V2" s="119" t="s">
        <v>5</v>
      </c>
      <c r="W2" s="119" t="s">
        <v>6</v>
      </c>
      <c r="X2" s="119" t="s">
        <v>5</v>
      </c>
      <c r="Y2" s="119" t="s">
        <v>6</v>
      </c>
      <c r="Z2" s="119" t="s">
        <v>5</v>
      </c>
      <c r="AA2" s="119" t="s">
        <v>6</v>
      </c>
      <c r="AB2" s="119" t="s">
        <v>5</v>
      </c>
      <c r="AC2" s="119" t="s">
        <v>6</v>
      </c>
      <c r="AD2" s="119" t="s">
        <v>5</v>
      </c>
      <c r="AE2" s="119" t="s">
        <v>6</v>
      </c>
      <c r="AF2" s="119" t="s">
        <v>5</v>
      </c>
      <c r="AG2" s="119" t="s">
        <v>6</v>
      </c>
      <c r="AH2" s="119" t="s">
        <v>5</v>
      </c>
      <c r="AI2" s="119" t="s">
        <v>6</v>
      </c>
      <c r="AJ2" s="119" t="s">
        <v>5</v>
      </c>
      <c r="AK2" s="119" t="s">
        <v>6</v>
      </c>
      <c r="AL2" s="119" t="s">
        <v>5</v>
      </c>
      <c r="AM2" s="119" t="s">
        <v>6</v>
      </c>
      <c r="AN2" s="119" t="s">
        <v>5</v>
      </c>
      <c r="AO2" s="119" t="s">
        <v>6</v>
      </c>
      <c r="AP2" s="119" t="s">
        <v>5</v>
      </c>
      <c r="AQ2" s="119" t="s">
        <v>6</v>
      </c>
      <c r="AR2" s="121" t="s">
        <v>7</v>
      </c>
      <c r="AS2" s="122" t="s">
        <v>9</v>
      </c>
      <c r="AT2" s="2" t="s">
        <v>201</v>
      </c>
    </row>
    <row r="3" spans="1:46" ht="16.2" thickBot="1" x14ac:dyDescent="0.35">
      <c r="A3" s="36"/>
      <c r="B3" s="331" t="s">
        <v>68</v>
      </c>
      <c r="C3" s="331"/>
      <c r="D3" s="331"/>
      <c r="E3" s="331"/>
      <c r="F3" s="331"/>
      <c r="G3" s="331"/>
      <c r="H3" s="331"/>
      <c r="I3" s="331"/>
      <c r="J3" s="331"/>
      <c r="K3" s="331"/>
      <c r="L3" s="331"/>
      <c r="M3" s="331"/>
      <c r="N3" s="331"/>
      <c r="O3" s="331"/>
      <c r="P3" s="331"/>
      <c r="Q3" s="331"/>
      <c r="R3" s="331"/>
      <c r="S3" s="331"/>
      <c r="T3" s="331"/>
      <c r="U3" s="331"/>
      <c r="V3" s="331"/>
      <c r="W3" s="331"/>
      <c r="X3" s="331"/>
      <c r="Y3" s="331"/>
      <c r="Z3" s="331"/>
      <c r="AA3" s="331"/>
      <c r="AB3" s="331"/>
      <c r="AC3" s="331"/>
      <c r="AD3" s="331"/>
      <c r="AE3" s="331"/>
      <c r="AF3" s="331"/>
      <c r="AG3" s="331"/>
      <c r="AH3" s="331"/>
      <c r="AI3" s="331"/>
      <c r="AJ3" s="331"/>
      <c r="AK3" s="331"/>
      <c r="AL3" s="331"/>
      <c r="AM3" s="331"/>
      <c r="AN3" s="331"/>
      <c r="AO3" s="331"/>
      <c r="AP3" s="331"/>
      <c r="AQ3" s="331"/>
      <c r="AR3" s="331"/>
      <c r="AS3" s="331"/>
    </row>
    <row r="4" spans="1:46" ht="21.6" customHeight="1" x14ac:dyDescent="0.3">
      <c r="A4" s="316">
        <v>1</v>
      </c>
      <c r="B4" s="319" t="s">
        <v>150</v>
      </c>
      <c r="C4" s="92" t="s">
        <v>99</v>
      </c>
      <c r="D4" s="123" t="s">
        <v>10</v>
      </c>
      <c r="E4" s="124"/>
      <c r="F4" s="125"/>
      <c r="G4" s="126"/>
      <c r="H4" s="127"/>
      <c r="I4" s="126"/>
      <c r="J4" s="127"/>
      <c r="K4" s="126"/>
      <c r="L4" s="127"/>
      <c r="M4" s="128"/>
      <c r="N4" s="129"/>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130">
        <f>SUM(E4,G4,I4,K4,M4,-N4,-P4,-R4,-T4,-V4,-X4,-Z4,-AB4,-AD4,-AF4,-AH4,-AJ4,-AL4,-AN4,-AP4)</f>
        <v>0</v>
      </c>
      <c r="AS4" s="131">
        <v>0</v>
      </c>
    </row>
    <row r="5" spans="1:46" ht="21.6" customHeight="1" x14ac:dyDescent="0.3">
      <c r="A5" s="316">
        <v>2</v>
      </c>
      <c r="B5" s="319" t="s">
        <v>193</v>
      </c>
      <c r="C5" s="93">
        <v>650</v>
      </c>
      <c r="D5" s="123" t="s">
        <v>10</v>
      </c>
      <c r="E5" s="124"/>
      <c r="F5" s="132"/>
      <c r="G5" s="133"/>
      <c r="H5" s="134"/>
      <c r="I5" s="135"/>
      <c r="J5" s="134"/>
      <c r="K5" s="135"/>
      <c r="L5" s="134"/>
      <c r="M5" s="136"/>
      <c r="N5" s="129"/>
      <c r="O5" s="92"/>
      <c r="P5" s="92"/>
      <c r="Q5" s="92"/>
      <c r="R5" s="92"/>
      <c r="S5" s="92"/>
      <c r="T5" s="92"/>
      <c r="U5" s="92"/>
      <c r="V5" s="92"/>
      <c r="W5" s="92"/>
      <c r="X5" s="92"/>
      <c r="Y5" s="92"/>
      <c r="Z5" s="92"/>
      <c r="AA5" s="92"/>
      <c r="AB5" s="92"/>
      <c r="AC5" s="92"/>
      <c r="AD5" s="92"/>
      <c r="AE5" s="92"/>
      <c r="AF5" s="92"/>
      <c r="AG5" s="92"/>
      <c r="AH5" s="92"/>
      <c r="AI5" s="92"/>
      <c r="AJ5" s="92"/>
      <c r="AK5" s="92"/>
      <c r="AL5" s="92"/>
      <c r="AM5" s="92"/>
      <c r="AN5" s="92"/>
      <c r="AO5" s="92"/>
      <c r="AP5" s="92"/>
      <c r="AQ5" s="92"/>
      <c r="AR5" s="130">
        <f t="shared" ref="AR5:AR12" si="0">SUM(E5,G5,I5,K5,M5,-N5,-P5,-R5,-T5,-V5,-X5,-Z5,-AB5,-AD5,-AF5,-AH5,-AJ5,-AL5,-AN5,-AP5)</f>
        <v>0</v>
      </c>
      <c r="AS5" s="131">
        <v>14</v>
      </c>
    </row>
    <row r="6" spans="1:46" ht="21.6" customHeight="1" x14ac:dyDescent="0.3">
      <c r="A6" s="316">
        <v>3</v>
      </c>
      <c r="B6" s="319" t="s">
        <v>96</v>
      </c>
      <c r="C6" s="92" t="s">
        <v>102</v>
      </c>
      <c r="D6" s="123" t="s">
        <v>98</v>
      </c>
      <c r="E6" s="124"/>
      <c r="F6" s="137"/>
      <c r="G6" s="133"/>
      <c r="H6" s="138"/>
      <c r="I6" s="133"/>
      <c r="J6" s="134"/>
      <c r="K6" s="135"/>
      <c r="L6" s="134"/>
      <c r="M6" s="136"/>
      <c r="N6" s="139"/>
      <c r="O6" s="140"/>
      <c r="P6" s="92"/>
      <c r="Q6" s="92"/>
      <c r="R6" s="92"/>
      <c r="S6" s="92"/>
      <c r="T6" s="92"/>
      <c r="U6" s="92"/>
      <c r="V6" s="92"/>
      <c r="W6" s="92"/>
      <c r="X6" s="92"/>
      <c r="Y6" s="92"/>
      <c r="Z6" s="92"/>
      <c r="AA6" s="92"/>
      <c r="AB6" s="92"/>
      <c r="AC6" s="92"/>
      <c r="AD6" s="92"/>
      <c r="AE6" s="92"/>
      <c r="AF6" s="92"/>
      <c r="AG6" s="92"/>
      <c r="AH6" s="92"/>
      <c r="AI6" s="92"/>
      <c r="AJ6" s="92"/>
      <c r="AK6" s="92"/>
      <c r="AL6" s="92"/>
      <c r="AM6" s="92"/>
      <c r="AN6" s="92"/>
      <c r="AO6" s="92"/>
      <c r="AP6" s="92"/>
      <c r="AQ6" s="92"/>
      <c r="AR6" s="130">
        <f t="shared" si="0"/>
        <v>0</v>
      </c>
      <c r="AS6" s="131">
        <v>38</v>
      </c>
      <c r="AT6" s="2" t="s">
        <v>198</v>
      </c>
    </row>
    <row r="7" spans="1:46" ht="21.6" customHeight="1" x14ac:dyDescent="0.3">
      <c r="A7" s="316">
        <v>4</v>
      </c>
      <c r="B7" s="319" t="s">
        <v>134</v>
      </c>
      <c r="C7" s="92" t="s">
        <v>135</v>
      </c>
      <c r="D7" s="123" t="s">
        <v>73</v>
      </c>
      <c r="E7" s="124"/>
      <c r="F7" s="137"/>
      <c r="G7" s="133"/>
      <c r="H7" s="134"/>
      <c r="I7" s="135"/>
      <c r="J7" s="134"/>
      <c r="K7" s="135"/>
      <c r="L7" s="134"/>
      <c r="M7" s="136"/>
      <c r="N7" s="139"/>
      <c r="O7" s="130"/>
      <c r="P7" s="92"/>
      <c r="Q7" s="92"/>
      <c r="R7" s="92"/>
      <c r="S7" s="92"/>
      <c r="T7" s="92"/>
      <c r="U7" s="92"/>
      <c r="V7" s="92"/>
      <c r="W7" s="92"/>
      <c r="X7" s="92"/>
      <c r="Y7" s="92"/>
      <c r="Z7" s="92"/>
      <c r="AA7" s="92"/>
      <c r="AB7" s="92"/>
      <c r="AC7" s="92"/>
      <c r="AD7" s="92"/>
      <c r="AE7" s="92"/>
      <c r="AF7" s="92"/>
      <c r="AG7" s="92"/>
      <c r="AH7" s="92"/>
      <c r="AI7" s="92"/>
      <c r="AJ7" s="92"/>
      <c r="AK7" s="92"/>
      <c r="AL7" s="92"/>
      <c r="AM7" s="92"/>
      <c r="AN7" s="92"/>
      <c r="AO7" s="92"/>
      <c r="AP7" s="92"/>
      <c r="AQ7" s="92"/>
      <c r="AR7" s="130">
        <f t="shared" si="0"/>
        <v>0</v>
      </c>
      <c r="AS7" s="131">
        <v>3</v>
      </c>
    </row>
    <row r="8" spans="1:46" ht="21.6" customHeight="1" x14ac:dyDescent="0.3">
      <c r="A8" s="316">
        <v>5</v>
      </c>
      <c r="B8" s="319" t="s">
        <v>197</v>
      </c>
      <c r="C8" s="93">
        <v>1200</v>
      </c>
      <c r="D8" s="123" t="s">
        <v>11</v>
      </c>
      <c r="E8" s="124"/>
      <c r="F8" s="137"/>
      <c r="G8" s="133"/>
      <c r="H8" s="141"/>
      <c r="I8" s="133"/>
      <c r="J8" s="138"/>
      <c r="K8" s="135"/>
      <c r="L8" s="134"/>
      <c r="M8" s="136"/>
      <c r="N8" s="139"/>
      <c r="O8" s="140"/>
      <c r="P8" s="130"/>
      <c r="Q8" s="130"/>
      <c r="R8" s="92"/>
      <c r="S8" s="92"/>
      <c r="T8" s="92"/>
      <c r="U8" s="92"/>
      <c r="V8" s="92"/>
      <c r="W8" s="92"/>
      <c r="X8" s="92"/>
      <c r="Y8" s="92"/>
      <c r="Z8" s="92"/>
      <c r="AA8" s="92"/>
      <c r="AB8" s="92"/>
      <c r="AC8" s="92"/>
      <c r="AD8" s="92"/>
      <c r="AE8" s="92"/>
      <c r="AF8" s="92"/>
      <c r="AG8" s="92"/>
      <c r="AH8" s="92"/>
      <c r="AI8" s="92"/>
      <c r="AJ8" s="92"/>
      <c r="AK8" s="92"/>
      <c r="AL8" s="92"/>
      <c r="AM8" s="92"/>
      <c r="AN8" s="92"/>
      <c r="AO8" s="92"/>
      <c r="AP8" s="92"/>
      <c r="AQ8" s="92"/>
      <c r="AR8" s="130">
        <f t="shared" si="0"/>
        <v>0</v>
      </c>
      <c r="AS8" s="131">
        <v>44</v>
      </c>
      <c r="AT8" s="2" t="s">
        <v>199</v>
      </c>
    </row>
    <row r="9" spans="1:46" ht="21.6" customHeight="1" x14ac:dyDescent="0.3">
      <c r="A9" s="316">
        <v>6</v>
      </c>
      <c r="B9" s="320" t="s">
        <v>74</v>
      </c>
      <c r="C9" s="93">
        <v>250</v>
      </c>
      <c r="D9" s="123" t="s">
        <v>44</v>
      </c>
      <c r="E9" s="124"/>
      <c r="F9" s="142"/>
      <c r="G9" s="135"/>
      <c r="H9" s="134"/>
      <c r="I9" s="135"/>
      <c r="J9" s="134"/>
      <c r="K9" s="135"/>
      <c r="L9" s="134"/>
      <c r="M9" s="136"/>
      <c r="N9" s="129"/>
      <c r="O9" s="92"/>
      <c r="P9" s="92"/>
      <c r="Q9" s="92"/>
      <c r="R9" s="92"/>
      <c r="S9" s="92"/>
      <c r="T9" s="92"/>
      <c r="U9" s="92"/>
      <c r="V9" s="92"/>
      <c r="W9" s="92"/>
      <c r="X9" s="92"/>
      <c r="Y9" s="92"/>
      <c r="Z9" s="92"/>
      <c r="AA9" s="92"/>
      <c r="AB9" s="92"/>
      <c r="AC9" s="92"/>
      <c r="AD9" s="92"/>
      <c r="AE9" s="92"/>
      <c r="AF9" s="92"/>
      <c r="AG9" s="92"/>
      <c r="AH9" s="92"/>
      <c r="AI9" s="92"/>
      <c r="AJ9" s="92"/>
      <c r="AK9" s="92"/>
      <c r="AL9" s="92"/>
      <c r="AM9" s="92"/>
      <c r="AN9" s="92"/>
      <c r="AO9" s="92"/>
      <c r="AP9" s="92"/>
      <c r="AQ9" s="92"/>
      <c r="AR9" s="130">
        <f t="shared" si="0"/>
        <v>0</v>
      </c>
      <c r="AS9" s="131">
        <v>0</v>
      </c>
    </row>
    <row r="10" spans="1:46" ht="21.6" customHeight="1" x14ac:dyDescent="0.3">
      <c r="A10" s="316">
        <v>7</v>
      </c>
      <c r="B10" s="320" t="s">
        <v>166</v>
      </c>
      <c r="C10" s="92" t="s">
        <v>101</v>
      </c>
      <c r="D10" s="123" t="s">
        <v>44</v>
      </c>
      <c r="E10" s="124"/>
      <c r="F10" s="137"/>
      <c r="G10" s="133"/>
      <c r="H10" s="143"/>
      <c r="I10" s="133"/>
      <c r="J10" s="138"/>
      <c r="K10" s="133"/>
      <c r="L10" s="134"/>
      <c r="M10" s="136"/>
      <c r="N10" s="139"/>
      <c r="O10" s="130"/>
      <c r="P10" s="92"/>
      <c r="Q10" s="92"/>
      <c r="R10" s="92"/>
      <c r="S10" s="92"/>
      <c r="T10" s="92"/>
      <c r="U10" s="92"/>
      <c r="V10" s="92"/>
      <c r="W10" s="92"/>
      <c r="X10" s="92"/>
      <c r="Y10" s="92"/>
      <c r="Z10" s="92"/>
      <c r="AA10" s="92"/>
      <c r="AB10" s="92"/>
      <c r="AC10" s="92"/>
      <c r="AD10" s="92"/>
      <c r="AE10" s="92"/>
      <c r="AF10" s="92"/>
      <c r="AG10" s="92"/>
      <c r="AH10" s="92"/>
      <c r="AI10" s="92"/>
      <c r="AJ10" s="92"/>
      <c r="AK10" s="92"/>
      <c r="AL10" s="92"/>
      <c r="AM10" s="92"/>
      <c r="AN10" s="92"/>
      <c r="AO10" s="92"/>
      <c r="AP10" s="92"/>
      <c r="AQ10" s="92"/>
      <c r="AR10" s="130">
        <f t="shared" si="0"/>
        <v>0</v>
      </c>
      <c r="AS10" s="131">
        <v>12</v>
      </c>
    </row>
    <row r="11" spans="1:46" ht="21.6" customHeight="1" x14ac:dyDescent="0.3">
      <c r="A11" s="316">
        <v>8</v>
      </c>
      <c r="B11" s="320" t="s">
        <v>189</v>
      </c>
      <c r="C11" s="93">
        <v>650</v>
      </c>
      <c r="D11" s="123" t="s">
        <v>44</v>
      </c>
      <c r="E11" s="124"/>
      <c r="F11" s="142"/>
      <c r="G11" s="135"/>
      <c r="H11" s="134"/>
      <c r="I11" s="135"/>
      <c r="J11" s="134"/>
      <c r="K11" s="135"/>
      <c r="L11" s="134"/>
      <c r="M11" s="136"/>
      <c r="N11" s="129"/>
      <c r="O11" s="92"/>
      <c r="P11" s="92"/>
      <c r="Q11" s="92"/>
      <c r="R11" s="92"/>
      <c r="S11" s="92"/>
      <c r="T11" s="92"/>
      <c r="U11" s="92"/>
      <c r="V11" s="92"/>
      <c r="W11" s="92"/>
      <c r="X11" s="92"/>
      <c r="Y11" s="92"/>
      <c r="Z11" s="92"/>
      <c r="AA11" s="92"/>
      <c r="AB11" s="92"/>
      <c r="AC11" s="92"/>
      <c r="AD11" s="92"/>
      <c r="AE11" s="92"/>
      <c r="AF11" s="92"/>
      <c r="AG11" s="92"/>
      <c r="AH11" s="92"/>
      <c r="AI11" s="92"/>
      <c r="AJ11" s="92"/>
      <c r="AK11" s="92"/>
      <c r="AL11" s="92"/>
      <c r="AM11" s="92"/>
      <c r="AN11" s="92"/>
      <c r="AO11" s="92"/>
      <c r="AP11" s="92"/>
      <c r="AQ11" s="92"/>
      <c r="AR11" s="130">
        <f t="shared" si="0"/>
        <v>0</v>
      </c>
      <c r="AS11" s="131">
        <v>6</v>
      </c>
      <c r="AT11" s="2" t="s">
        <v>200</v>
      </c>
    </row>
    <row r="12" spans="1:46" ht="21.6" customHeight="1" x14ac:dyDescent="0.3">
      <c r="A12" s="316">
        <v>9</v>
      </c>
      <c r="B12" s="320" t="s">
        <v>95</v>
      </c>
      <c r="C12" s="92" t="s">
        <v>104</v>
      </c>
      <c r="D12" s="123" t="s">
        <v>11</v>
      </c>
      <c r="E12" s="124"/>
      <c r="F12" s="142"/>
      <c r="G12" s="135"/>
      <c r="H12" s="134"/>
      <c r="I12" s="135"/>
      <c r="J12" s="134"/>
      <c r="K12" s="135"/>
      <c r="L12" s="134"/>
      <c r="M12" s="136"/>
      <c r="N12" s="129"/>
      <c r="O12" s="92"/>
      <c r="P12" s="92"/>
      <c r="Q12" s="92"/>
      <c r="R12" s="92"/>
      <c r="S12" s="92"/>
      <c r="T12" s="92"/>
      <c r="U12" s="92"/>
      <c r="V12" s="92"/>
      <c r="W12" s="92"/>
      <c r="X12" s="92"/>
      <c r="Y12" s="92"/>
      <c r="Z12" s="92"/>
      <c r="AA12" s="92"/>
      <c r="AB12" s="92"/>
      <c r="AC12" s="92"/>
      <c r="AD12" s="92"/>
      <c r="AE12" s="92"/>
      <c r="AF12" s="92"/>
      <c r="AG12" s="92"/>
      <c r="AH12" s="92"/>
      <c r="AI12" s="92"/>
      <c r="AJ12" s="92"/>
      <c r="AK12" s="92"/>
      <c r="AL12" s="92"/>
      <c r="AM12" s="92"/>
      <c r="AN12" s="92"/>
      <c r="AO12" s="92"/>
      <c r="AP12" s="92"/>
      <c r="AQ12" s="92"/>
      <c r="AR12" s="130">
        <f t="shared" si="0"/>
        <v>0</v>
      </c>
      <c r="AS12" s="131">
        <v>4</v>
      </c>
    </row>
    <row r="13" spans="1:46" ht="19.95" customHeight="1" thickBot="1" x14ac:dyDescent="0.35">
      <c r="A13" s="317"/>
      <c r="B13" s="331" t="s">
        <v>62</v>
      </c>
      <c r="C13" s="331"/>
      <c r="D13" s="331"/>
      <c r="E13" s="331"/>
      <c r="F13" s="331"/>
      <c r="G13" s="331"/>
      <c r="H13" s="331"/>
      <c r="I13" s="331"/>
      <c r="J13" s="331"/>
      <c r="K13" s="331"/>
      <c r="L13" s="331"/>
      <c r="M13" s="331"/>
      <c r="N13" s="331"/>
      <c r="O13" s="331"/>
      <c r="P13" s="331"/>
      <c r="Q13" s="331"/>
      <c r="R13" s="331"/>
      <c r="S13" s="331"/>
      <c r="T13" s="331"/>
      <c r="U13" s="331"/>
      <c r="V13" s="331"/>
      <c r="W13" s="331"/>
      <c r="X13" s="331"/>
      <c r="Y13" s="331"/>
      <c r="Z13" s="331"/>
      <c r="AA13" s="331"/>
      <c r="AB13" s="331"/>
      <c r="AC13" s="331"/>
      <c r="AD13" s="331"/>
      <c r="AE13" s="331"/>
      <c r="AF13" s="331"/>
      <c r="AG13" s="331"/>
      <c r="AH13" s="331"/>
      <c r="AI13" s="331"/>
      <c r="AJ13" s="331"/>
      <c r="AK13" s="331"/>
      <c r="AL13" s="331"/>
      <c r="AM13" s="331"/>
      <c r="AN13" s="331"/>
      <c r="AO13" s="331"/>
      <c r="AP13" s="331"/>
      <c r="AQ13" s="331"/>
      <c r="AR13" s="331"/>
      <c r="AS13" s="331"/>
    </row>
    <row r="14" spans="1:46" ht="21.6" customHeight="1" x14ac:dyDescent="0.3">
      <c r="A14" s="316">
        <v>10</v>
      </c>
      <c r="B14" s="321" t="s">
        <v>37</v>
      </c>
      <c r="C14" s="94" t="s">
        <v>107</v>
      </c>
      <c r="D14" s="144" t="s">
        <v>38</v>
      </c>
      <c r="E14" s="145"/>
      <c r="F14" s="146"/>
      <c r="G14" s="147"/>
      <c r="H14" s="148"/>
      <c r="I14" s="149"/>
      <c r="J14" s="148"/>
      <c r="K14" s="149"/>
      <c r="L14" s="148"/>
      <c r="M14" s="150"/>
      <c r="N14" s="151"/>
      <c r="O14" s="144"/>
      <c r="P14" s="144"/>
      <c r="Q14" s="144"/>
      <c r="R14" s="144"/>
      <c r="S14" s="144"/>
      <c r="T14" s="144"/>
      <c r="U14" s="144"/>
      <c r="V14" s="144"/>
      <c r="W14" s="144"/>
      <c r="X14" s="144"/>
      <c r="Y14" s="144"/>
      <c r="Z14" s="144"/>
      <c r="AA14" s="144"/>
      <c r="AB14" s="144"/>
      <c r="AC14" s="144"/>
      <c r="AD14" s="144"/>
      <c r="AE14" s="144"/>
      <c r="AF14" s="144"/>
      <c r="AG14" s="144"/>
      <c r="AH14" s="144"/>
      <c r="AI14" s="144"/>
      <c r="AJ14" s="144"/>
      <c r="AK14" s="144"/>
      <c r="AL14" s="144"/>
      <c r="AM14" s="144"/>
      <c r="AN14" s="144"/>
      <c r="AO14" s="144"/>
      <c r="AP14" s="144"/>
      <c r="AQ14" s="144"/>
      <c r="AR14" s="152">
        <f t="shared" ref="AR14:AR23" si="1">SUM(E14,G14,I14,K14,M14,-N14,-P14,-R14,-T14,-V14,-X14,-Z14,-AB14,-AD14,-AF14,-AH14,-AJ14,-AL14,-AN14,-AP14)</f>
        <v>0</v>
      </c>
      <c r="AS14" s="153">
        <v>6</v>
      </c>
    </row>
    <row r="15" spans="1:46" ht="21.6" customHeight="1" x14ac:dyDescent="0.3">
      <c r="A15" s="316">
        <v>11</v>
      </c>
      <c r="B15" s="319" t="s">
        <v>90</v>
      </c>
      <c r="C15" s="93">
        <v>200</v>
      </c>
      <c r="D15" s="154" t="s">
        <v>39</v>
      </c>
      <c r="E15" s="155"/>
      <c r="F15" s="156"/>
      <c r="G15" s="157"/>
      <c r="H15" s="138"/>
      <c r="I15" s="157"/>
      <c r="J15" s="141"/>
      <c r="K15" s="158"/>
      <c r="L15" s="141"/>
      <c r="M15" s="159"/>
      <c r="N15" s="160"/>
      <c r="O15" s="140"/>
      <c r="P15" s="140"/>
      <c r="Q15" s="140"/>
      <c r="R15" s="154"/>
      <c r="S15" s="161"/>
      <c r="T15" s="154"/>
      <c r="U15" s="154"/>
      <c r="V15" s="154"/>
      <c r="W15" s="154"/>
      <c r="X15" s="154"/>
      <c r="Y15" s="154"/>
      <c r="Z15" s="154"/>
      <c r="AA15" s="154"/>
      <c r="AB15" s="154"/>
      <c r="AC15" s="154"/>
      <c r="AD15" s="154"/>
      <c r="AE15" s="154"/>
      <c r="AF15" s="154"/>
      <c r="AG15" s="154"/>
      <c r="AH15" s="154"/>
      <c r="AI15" s="154"/>
      <c r="AJ15" s="154"/>
      <c r="AK15" s="154"/>
      <c r="AL15" s="154"/>
      <c r="AM15" s="154"/>
      <c r="AN15" s="154"/>
      <c r="AO15" s="154"/>
      <c r="AP15" s="154"/>
      <c r="AQ15" s="154"/>
      <c r="AR15" s="130">
        <f t="shared" si="1"/>
        <v>0</v>
      </c>
      <c r="AS15" s="162">
        <v>96</v>
      </c>
    </row>
    <row r="16" spans="1:46" ht="21.6" customHeight="1" x14ac:dyDescent="0.3">
      <c r="A16" s="316">
        <v>12</v>
      </c>
      <c r="B16" s="319" t="s">
        <v>60</v>
      </c>
      <c r="C16" s="93">
        <v>7</v>
      </c>
      <c r="D16" s="154" t="s">
        <v>56</v>
      </c>
      <c r="E16" s="155"/>
      <c r="F16" s="156"/>
      <c r="G16" s="157"/>
      <c r="H16" s="138"/>
      <c r="I16" s="157"/>
      <c r="J16" s="141"/>
      <c r="K16" s="158"/>
      <c r="L16" s="141"/>
      <c r="M16" s="159"/>
      <c r="N16" s="160"/>
      <c r="O16" s="140"/>
      <c r="P16" s="140"/>
      <c r="Q16" s="140"/>
      <c r="R16" s="154"/>
      <c r="S16" s="154"/>
      <c r="T16" s="154"/>
      <c r="U16" s="154"/>
      <c r="V16" s="154"/>
      <c r="W16" s="154"/>
      <c r="X16" s="154"/>
      <c r="Y16" s="154"/>
      <c r="Z16" s="154"/>
      <c r="AA16" s="154"/>
      <c r="AB16" s="154"/>
      <c r="AC16" s="154"/>
      <c r="AD16" s="154"/>
      <c r="AE16" s="154"/>
      <c r="AF16" s="154"/>
      <c r="AG16" s="154"/>
      <c r="AH16" s="154"/>
      <c r="AI16" s="154"/>
      <c r="AJ16" s="154"/>
      <c r="AK16" s="154"/>
      <c r="AL16" s="154"/>
      <c r="AM16" s="154"/>
      <c r="AN16" s="154"/>
      <c r="AO16" s="154"/>
      <c r="AP16" s="154"/>
      <c r="AQ16" s="154"/>
      <c r="AR16" s="130">
        <f t="shared" si="1"/>
        <v>0</v>
      </c>
      <c r="AS16" s="162">
        <v>136</v>
      </c>
      <c r="AT16" s="2" t="s">
        <v>203</v>
      </c>
    </row>
    <row r="17" spans="1:46" ht="21.6" customHeight="1" x14ac:dyDescent="0.3">
      <c r="A17" s="316">
        <v>13</v>
      </c>
      <c r="B17" s="319" t="s">
        <v>61</v>
      </c>
      <c r="C17" s="92" t="s">
        <v>136</v>
      </c>
      <c r="D17" s="154"/>
      <c r="E17" s="155"/>
      <c r="F17" s="163"/>
      <c r="G17" s="158"/>
      <c r="H17" s="141"/>
      <c r="I17" s="158"/>
      <c r="J17" s="141"/>
      <c r="K17" s="158"/>
      <c r="L17" s="141"/>
      <c r="M17" s="159"/>
      <c r="N17" s="164"/>
      <c r="O17" s="154"/>
      <c r="P17" s="154"/>
      <c r="Q17" s="154"/>
      <c r="R17" s="154"/>
      <c r="S17" s="154"/>
      <c r="T17" s="154"/>
      <c r="U17" s="154"/>
      <c r="V17" s="154"/>
      <c r="W17" s="154"/>
      <c r="X17" s="154"/>
      <c r="Y17" s="154"/>
      <c r="Z17" s="154"/>
      <c r="AA17" s="154"/>
      <c r="AB17" s="154"/>
      <c r="AC17" s="154"/>
      <c r="AD17" s="154"/>
      <c r="AE17" s="154"/>
      <c r="AF17" s="154"/>
      <c r="AG17" s="154"/>
      <c r="AH17" s="154"/>
      <c r="AI17" s="154"/>
      <c r="AJ17" s="154"/>
      <c r="AK17" s="154"/>
      <c r="AL17" s="154"/>
      <c r="AM17" s="154"/>
      <c r="AN17" s="154"/>
      <c r="AO17" s="154"/>
      <c r="AP17" s="154"/>
      <c r="AQ17" s="154"/>
      <c r="AR17" s="130">
        <f t="shared" si="1"/>
        <v>0</v>
      </c>
      <c r="AS17" s="162">
        <v>8</v>
      </c>
    </row>
    <row r="18" spans="1:46" ht="21.6" customHeight="1" x14ac:dyDescent="0.3">
      <c r="A18" s="316">
        <v>14</v>
      </c>
      <c r="B18" s="319" t="s">
        <v>75</v>
      </c>
      <c r="C18" s="92" t="s">
        <v>107</v>
      </c>
      <c r="D18" s="154" t="s">
        <v>76</v>
      </c>
      <c r="E18" s="155"/>
      <c r="F18" s="163"/>
      <c r="G18" s="158"/>
      <c r="H18" s="141"/>
      <c r="I18" s="158"/>
      <c r="J18" s="141"/>
      <c r="K18" s="158"/>
      <c r="L18" s="141"/>
      <c r="M18" s="159"/>
      <c r="N18" s="164"/>
      <c r="O18" s="154"/>
      <c r="P18" s="154"/>
      <c r="Q18" s="154"/>
      <c r="R18" s="154"/>
      <c r="S18" s="154"/>
      <c r="T18" s="154"/>
      <c r="U18" s="154"/>
      <c r="V18" s="154"/>
      <c r="W18" s="154"/>
      <c r="X18" s="154"/>
      <c r="Y18" s="154"/>
      <c r="Z18" s="154"/>
      <c r="AA18" s="154"/>
      <c r="AB18" s="154"/>
      <c r="AC18" s="154"/>
      <c r="AD18" s="154"/>
      <c r="AE18" s="154"/>
      <c r="AF18" s="154"/>
      <c r="AG18" s="154"/>
      <c r="AH18" s="154"/>
      <c r="AI18" s="154"/>
      <c r="AJ18" s="154"/>
      <c r="AK18" s="154"/>
      <c r="AL18" s="154"/>
      <c r="AM18" s="154"/>
      <c r="AN18" s="154"/>
      <c r="AO18" s="154"/>
      <c r="AP18" s="154"/>
      <c r="AQ18" s="154"/>
      <c r="AR18" s="130">
        <f t="shared" si="1"/>
        <v>0</v>
      </c>
      <c r="AS18" s="162">
        <v>21</v>
      </c>
    </row>
    <row r="19" spans="1:46" ht="21.6" customHeight="1" x14ac:dyDescent="0.3">
      <c r="A19" s="316">
        <v>15</v>
      </c>
      <c r="B19" s="319" t="s">
        <v>181</v>
      </c>
      <c r="C19" s="92" t="s">
        <v>133</v>
      </c>
      <c r="D19" s="154" t="s">
        <v>76</v>
      </c>
      <c r="E19" s="155"/>
      <c r="F19" s="163"/>
      <c r="G19" s="158"/>
      <c r="H19" s="141"/>
      <c r="I19" s="158"/>
      <c r="J19" s="141"/>
      <c r="K19" s="158"/>
      <c r="L19" s="141"/>
      <c r="M19" s="159"/>
      <c r="N19" s="164"/>
      <c r="O19" s="154"/>
      <c r="P19" s="154"/>
      <c r="Q19" s="154"/>
      <c r="R19" s="154"/>
      <c r="S19" s="154"/>
      <c r="T19" s="154"/>
      <c r="U19" s="154"/>
      <c r="V19" s="154"/>
      <c r="W19" s="154"/>
      <c r="X19" s="154"/>
      <c r="Y19" s="154"/>
      <c r="Z19" s="154"/>
      <c r="AA19" s="154"/>
      <c r="AB19" s="154"/>
      <c r="AC19" s="154"/>
      <c r="AD19" s="154"/>
      <c r="AE19" s="154"/>
      <c r="AF19" s="154"/>
      <c r="AG19" s="154"/>
      <c r="AH19" s="154"/>
      <c r="AI19" s="154"/>
      <c r="AJ19" s="154"/>
      <c r="AK19" s="154"/>
      <c r="AL19" s="154"/>
      <c r="AM19" s="154"/>
      <c r="AN19" s="154"/>
      <c r="AO19" s="154"/>
      <c r="AP19" s="154"/>
      <c r="AQ19" s="154"/>
      <c r="AR19" s="130">
        <f t="shared" si="1"/>
        <v>0</v>
      </c>
      <c r="AS19" s="162">
        <v>49</v>
      </c>
    </row>
    <row r="20" spans="1:46" ht="21.6" customHeight="1" x14ac:dyDescent="0.3">
      <c r="A20" s="316">
        <v>16</v>
      </c>
      <c r="B20" s="320" t="s">
        <v>106</v>
      </c>
      <c r="C20" s="93">
        <v>750</v>
      </c>
      <c r="D20" s="154" t="s">
        <v>63</v>
      </c>
      <c r="E20" s="155"/>
      <c r="F20" s="163"/>
      <c r="G20" s="158"/>
      <c r="H20" s="141"/>
      <c r="I20" s="158"/>
      <c r="J20" s="141"/>
      <c r="K20" s="158"/>
      <c r="L20" s="141"/>
      <c r="M20" s="159"/>
      <c r="N20" s="160"/>
      <c r="O20" s="140"/>
      <c r="P20" s="140"/>
      <c r="Q20" s="140"/>
      <c r="R20" s="140"/>
      <c r="S20" s="140"/>
      <c r="T20" s="140"/>
      <c r="U20" s="140"/>
      <c r="V20" s="140"/>
      <c r="W20" s="140"/>
      <c r="X20" s="154"/>
      <c r="Y20" s="154"/>
      <c r="Z20" s="154"/>
      <c r="AA20" s="154"/>
      <c r="AB20" s="154"/>
      <c r="AC20" s="154"/>
      <c r="AD20" s="154"/>
      <c r="AE20" s="154"/>
      <c r="AF20" s="154"/>
      <c r="AG20" s="154"/>
      <c r="AH20" s="154"/>
      <c r="AI20" s="154"/>
      <c r="AJ20" s="154"/>
      <c r="AK20" s="154"/>
      <c r="AL20" s="154"/>
      <c r="AM20" s="154"/>
      <c r="AN20" s="154"/>
      <c r="AO20" s="154"/>
      <c r="AP20" s="154"/>
      <c r="AQ20" s="154"/>
      <c r="AR20" s="130">
        <f t="shared" si="1"/>
        <v>0</v>
      </c>
      <c r="AS20" s="162">
        <v>26</v>
      </c>
      <c r="AT20" s="35"/>
    </row>
    <row r="21" spans="1:46" ht="21.6" customHeight="1" x14ac:dyDescent="0.3">
      <c r="A21" s="316">
        <v>17</v>
      </c>
      <c r="B21" s="320" t="s">
        <v>186</v>
      </c>
      <c r="C21" s="93">
        <v>650</v>
      </c>
      <c r="D21" s="154" t="s">
        <v>176</v>
      </c>
      <c r="E21" s="155"/>
      <c r="F21" s="165"/>
      <c r="G21" s="157"/>
      <c r="H21" s="141"/>
      <c r="I21" s="158"/>
      <c r="J21" s="141"/>
      <c r="K21" s="158"/>
      <c r="L21" s="141"/>
      <c r="M21" s="159"/>
      <c r="N21" s="160"/>
      <c r="O21" s="140"/>
      <c r="P21" s="154"/>
      <c r="Q21" s="154"/>
      <c r="R21" s="154"/>
      <c r="S21" s="154"/>
      <c r="T21" s="154"/>
      <c r="U21" s="154"/>
      <c r="V21" s="154"/>
      <c r="W21" s="154"/>
      <c r="X21" s="154"/>
      <c r="Y21" s="154"/>
      <c r="Z21" s="154"/>
      <c r="AA21" s="154"/>
      <c r="AB21" s="154"/>
      <c r="AC21" s="154"/>
      <c r="AD21" s="154"/>
      <c r="AE21" s="154"/>
      <c r="AF21" s="154"/>
      <c r="AG21" s="154"/>
      <c r="AH21" s="154"/>
      <c r="AI21" s="154"/>
      <c r="AJ21" s="154"/>
      <c r="AK21" s="154"/>
      <c r="AL21" s="154"/>
      <c r="AM21" s="154"/>
      <c r="AN21" s="154"/>
      <c r="AO21" s="154"/>
      <c r="AP21" s="154"/>
      <c r="AQ21" s="154"/>
      <c r="AR21" s="130">
        <f t="shared" si="1"/>
        <v>0</v>
      </c>
      <c r="AS21" s="162">
        <v>4</v>
      </c>
    </row>
    <row r="22" spans="1:46" ht="21.6" customHeight="1" x14ac:dyDescent="0.3">
      <c r="A22" s="316">
        <v>18</v>
      </c>
      <c r="B22" s="319" t="s">
        <v>105</v>
      </c>
      <c r="C22" s="92" t="s">
        <v>103</v>
      </c>
      <c r="D22" s="154" t="s">
        <v>11</v>
      </c>
      <c r="E22" s="155"/>
      <c r="F22" s="163"/>
      <c r="G22" s="158"/>
      <c r="H22" s="141"/>
      <c r="I22" s="158"/>
      <c r="J22" s="141"/>
      <c r="K22" s="158"/>
      <c r="L22" s="141"/>
      <c r="M22" s="159"/>
      <c r="N22" s="164"/>
      <c r="O22" s="154"/>
      <c r="P22" s="154"/>
      <c r="Q22" s="154"/>
      <c r="R22" s="154"/>
      <c r="S22" s="154"/>
      <c r="T22" s="154"/>
      <c r="U22" s="154"/>
      <c r="V22" s="154"/>
      <c r="W22" s="154"/>
      <c r="X22" s="154"/>
      <c r="Y22" s="154"/>
      <c r="Z22" s="154"/>
      <c r="AA22" s="154"/>
      <c r="AB22" s="154"/>
      <c r="AC22" s="154"/>
      <c r="AD22" s="154"/>
      <c r="AE22" s="154"/>
      <c r="AF22" s="154"/>
      <c r="AG22" s="154"/>
      <c r="AH22" s="154"/>
      <c r="AI22" s="154"/>
      <c r="AJ22" s="154"/>
      <c r="AK22" s="154"/>
      <c r="AL22" s="154"/>
      <c r="AM22" s="154"/>
      <c r="AN22" s="154"/>
      <c r="AO22" s="154"/>
      <c r="AP22" s="154"/>
      <c r="AQ22" s="154"/>
      <c r="AR22" s="130">
        <f t="shared" si="1"/>
        <v>0</v>
      </c>
      <c r="AS22" s="162">
        <v>4</v>
      </c>
      <c r="AT22" s="2" t="s">
        <v>198</v>
      </c>
    </row>
    <row r="23" spans="1:46" ht="21.6" customHeight="1" thickBot="1" x14ac:dyDescent="0.35">
      <c r="A23" s="316">
        <v>19</v>
      </c>
      <c r="B23" s="322" t="s">
        <v>109</v>
      </c>
      <c r="C23" s="95" t="s">
        <v>104</v>
      </c>
      <c r="D23" s="166" t="s">
        <v>110</v>
      </c>
      <c r="E23" s="167"/>
      <c r="F23" s="168"/>
      <c r="G23" s="169"/>
      <c r="H23" s="170"/>
      <c r="I23" s="169"/>
      <c r="J23" s="170"/>
      <c r="K23" s="169"/>
      <c r="L23" s="170"/>
      <c r="M23" s="171"/>
      <c r="N23" s="172"/>
      <c r="O23" s="95"/>
      <c r="P23" s="95"/>
      <c r="Q23" s="95"/>
      <c r="R23" s="95"/>
      <c r="S23" s="95"/>
      <c r="T23" s="95"/>
      <c r="U23" s="95"/>
      <c r="V23" s="95"/>
      <c r="W23" s="95"/>
      <c r="X23" s="95"/>
      <c r="Y23" s="95"/>
      <c r="Z23" s="95"/>
      <c r="AA23" s="95"/>
      <c r="AB23" s="95"/>
      <c r="AC23" s="95"/>
      <c r="AD23" s="95"/>
      <c r="AE23" s="95"/>
      <c r="AF23" s="95"/>
      <c r="AG23" s="95"/>
      <c r="AH23" s="95"/>
      <c r="AI23" s="95"/>
      <c r="AJ23" s="95"/>
      <c r="AK23" s="95"/>
      <c r="AL23" s="95"/>
      <c r="AM23" s="95"/>
      <c r="AN23" s="95"/>
      <c r="AO23" s="95"/>
      <c r="AP23" s="95"/>
      <c r="AQ23" s="95"/>
      <c r="AR23" s="173">
        <f t="shared" si="1"/>
        <v>0</v>
      </c>
      <c r="AS23" s="174">
        <v>2</v>
      </c>
    </row>
    <row r="24" spans="1:46" ht="15" customHeight="1" thickBot="1" x14ac:dyDescent="0.35">
      <c r="A24" s="36"/>
      <c r="B24" s="334" t="s">
        <v>131</v>
      </c>
      <c r="C24" s="334"/>
      <c r="D24" s="334"/>
      <c r="E24" s="334"/>
      <c r="F24" s="335"/>
      <c r="G24" s="335"/>
      <c r="H24" s="335"/>
      <c r="I24" s="335"/>
      <c r="J24" s="335"/>
      <c r="K24" s="335"/>
      <c r="L24" s="335"/>
      <c r="M24" s="335"/>
      <c r="N24" s="335"/>
      <c r="O24" s="335"/>
      <c r="P24" s="335"/>
      <c r="Q24" s="335"/>
      <c r="R24" s="335"/>
      <c r="S24" s="335"/>
      <c r="T24" s="335"/>
      <c r="U24" s="335"/>
      <c r="V24" s="335"/>
      <c r="W24" s="335"/>
      <c r="X24" s="335"/>
      <c r="Y24" s="335"/>
      <c r="Z24" s="335"/>
      <c r="AA24" s="335"/>
      <c r="AB24" s="335"/>
      <c r="AC24" s="335"/>
      <c r="AD24" s="335"/>
      <c r="AE24" s="335"/>
      <c r="AF24" s="335"/>
      <c r="AG24" s="335"/>
      <c r="AH24" s="335"/>
      <c r="AI24" s="335"/>
      <c r="AJ24" s="335"/>
      <c r="AK24" s="335"/>
      <c r="AL24" s="335"/>
      <c r="AM24" s="335"/>
      <c r="AN24" s="335"/>
      <c r="AO24" s="335"/>
      <c r="AP24" s="335"/>
      <c r="AQ24" s="335"/>
      <c r="AR24" s="335"/>
      <c r="AS24" s="175"/>
    </row>
    <row r="25" spans="1:46" ht="20.25" customHeight="1" thickBot="1" x14ac:dyDescent="0.35">
      <c r="A25" s="1">
        <v>20</v>
      </c>
      <c r="B25" s="323" t="s">
        <v>28</v>
      </c>
      <c r="C25" s="96">
        <v>250</v>
      </c>
      <c r="D25" s="176" t="s">
        <v>25</v>
      </c>
      <c r="E25" s="177"/>
      <c r="F25" s="178"/>
      <c r="G25" s="179"/>
      <c r="H25" s="180"/>
      <c r="I25" s="179"/>
      <c r="J25" s="180"/>
      <c r="K25" s="179"/>
      <c r="L25" s="181"/>
      <c r="M25" s="182"/>
      <c r="N25" s="183"/>
      <c r="O25" s="184"/>
      <c r="P25" s="184"/>
      <c r="Q25" s="184"/>
      <c r="R25" s="184"/>
      <c r="S25" s="184"/>
      <c r="T25" s="184"/>
      <c r="U25" s="184"/>
      <c r="V25" s="184"/>
      <c r="W25" s="184"/>
      <c r="X25" s="184"/>
      <c r="Y25" s="184"/>
      <c r="Z25" s="184"/>
      <c r="AA25" s="184"/>
      <c r="AB25" s="184"/>
      <c r="AC25" s="184"/>
      <c r="AD25" s="184"/>
      <c r="AE25" s="184"/>
      <c r="AF25" s="184"/>
      <c r="AG25" s="184"/>
      <c r="AH25" s="184"/>
      <c r="AI25" s="184"/>
      <c r="AJ25" s="184"/>
      <c r="AK25" s="184"/>
      <c r="AL25" s="184"/>
      <c r="AM25" s="184"/>
      <c r="AN25" s="184"/>
      <c r="AO25" s="184"/>
      <c r="AP25" s="184"/>
      <c r="AQ25" s="184"/>
      <c r="AR25" s="106">
        <f>SUM(E25,G25,I25,K25,M25,-N25,-P25,-R25,-T25,-V25,-X25,-Z25,-AB25,-AD25,-AF25,-AP25,-AH25,-AJ25,-AL25,-AN25)</f>
        <v>0</v>
      </c>
      <c r="AS25" s="185">
        <v>7</v>
      </c>
    </row>
    <row r="26" spans="1:46" ht="20.25" customHeight="1" thickBot="1" x14ac:dyDescent="0.35">
      <c r="A26" s="1">
        <v>21</v>
      </c>
      <c r="B26" s="320" t="s">
        <v>29</v>
      </c>
      <c r="C26" s="96">
        <v>250</v>
      </c>
      <c r="D26" s="104" t="s">
        <v>26</v>
      </c>
      <c r="E26" s="186"/>
      <c r="F26" s="187"/>
      <c r="G26" s="188"/>
      <c r="H26" s="189"/>
      <c r="I26" s="188"/>
      <c r="J26" s="189"/>
      <c r="K26" s="188"/>
      <c r="L26" s="190"/>
      <c r="M26" s="191"/>
      <c r="N26" s="192"/>
      <c r="O26" s="193"/>
      <c r="P26" s="193"/>
      <c r="Q26" s="193"/>
      <c r="R26" s="193"/>
      <c r="S26" s="193"/>
      <c r="T26" s="193"/>
      <c r="U26" s="193"/>
      <c r="V26" s="193"/>
      <c r="W26" s="193"/>
      <c r="X26" s="193"/>
      <c r="Y26" s="193"/>
      <c r="Z26" s="193"/>
      <c r="AA26" s="193"/>
      <c r="AB26" s="193"/>
      <c r="AC26" s="193"/>
      <c r="AD26" s="193"/>
      <c r="AE26" s="193"/>
      <c r="AF26" s="193"/>
      <c r="AG26" s="193"/>
      <c r="AH26" s="193"/>
      <c r="AI26" s="193"/>
      <c r="AJ26" s="193"/>
      <c r="AK26" s="193"/>
      <c r="AL26" s="193"/>
      <c r="AM26" s="193"/>
      <c r="AN26" s="193"/>
      <c r="AO26" s="193"/>
      <c r="AP26" s="193"/>
      <c r="AQ26" s="193"/>
      <c r="AR26" s="98">
        <f t="shared" ref="AR26:AR36" si="2">SUM(E26,G26,I26,K26,M26,-N26,-P26,-R26,-T26,-V26,-X26,-Z26,-AB26,-AD26,-AF26,-AP26,-AH26,-AJ26,-AL26,-AN26)</f>
        <v>0</v>
      </c>
      <c r="AS26" s="194">
        <v>9</v>
      </c>
    </row>
    <row r="27" spans="1:46" ht="20.25" customHeight="1" x14ac:dyDescent="0.3">
      <c r="A27" s="1">
        <v>22</v>
      </c>
      <c r="B27" s="320" t="s">
        <v>22</v>
      </c>
      <c r="C27" s="96">
        <v>250</v>
      </c>
      <c r="D27" s="104" t="s">
        <v>24</v>
      </c>
      <c r="E27" s="186"/>
      <c r="F27" s="187"/>
      <c r="G27" s="188"/>
      <c r="H27" s="189"/>
      <c r="I27" s="188"/>
      <c r="J27" s="189"/>
      <c r="K27" s="188"/>
      <c r="L27" s="190"/>
      <c r="M27" s="191"/>
      <c r="N27" s="192"/>
      <c r="O27" s="193"/>
      <c r="P27" s="193"/>
      <c r="Q27" s="193"/>
      <c r="R27" s="193"/>
      <c r="S27" s="193"/>
      <c r="T27" s="193"/>
      <c r="U27" s="193"/>
      <c r="V27" s="193"/>
      <c r="W27" s="193"/>
      <c r="X27" s="193"/>
      <c r="Y27" s="193"/>
      <c r="Z27" s="193"/>
      <c r="AA27" s="193"/>
      <c r="AB27" s="193"/>
      <c r="AC27" s="193"/>
      <c r="AD27" s="193"/>
      <c r="AE27" s="193"/>
      <c r="AF27" s="193"/>
      <c r="AG27" s="193"/>
      <c r="AH27" s="193"/>
      <c r="AI27" s="193"/>
      <c r="AJ27" s="193"/>
      <c r="AK27" s="193"/>
      <c r="AL27" s="193"/>
      <c r="AM27" s="193"/>
      <c r="AN27" s="193"/>
      <c r="AO27" s="193"/>
      <c r="AP27" s="193"/>
      <c r="AQ27" s="193"/>
      <c r="AR27" s="98">
        <f t="shared" si="2"/>
        <v>0</v>
      </c>
      <c r="AS27" s="194">
        <v>13</v>
      </c>
    </row>
    <row r="28" spans="1:46" ht="20.25" customHeight="1" x14ac:dyDescent="0.3">
      <c r="A28" s="71">
        <v>23</v>
      </c>
      <c r="B28" s="320" t="s">
        <v>165</v>
      </c>
      <c r="C28" s="98" t="s">
        <v>102</v>
      </c>
      <c r="D28" s="104" t="s">
        <v>190</v>
      </c>
      <c r="E28" s="195"/>
      <c r="F28" s="187"/>
      <c r="G28" s="188"/>
      <c r="H28" s="189"/>
      <c r="I28" s="188"/>
      <c r="J28" s="189"/>
      <c r="K28" s="188"/>
      <c r="L28" s="190"/>
      <c r="M28" s="191"/>
      <c r="N28" s="192"/>
      <c r="O28" s="193"/>
      <c r="P28" s="193"/>
      <c r="Q28" s="193"/>
      <c r="R28" s="193"/>
      <c r="S28" s="193"/>
      <c r="T28" s="193"/>
      <c r="U28" s="193"/>
      <c r="V28" s="193"/>
      <c r="W28" s="193"/>
      <c r="X28" s="193"/>
      <c r="Y28" s="193"/>
      <c r="Z28" s="193"/>
      <c r="AA28" s="193"/>
      <c r="AB28" s="193"/>
      <c r="AC28" s="193"/>
      <c r="AD28" s="193"/>
      <c r="AE28" s="193"/>
      <c r="AF28" s="193"/>
      <c r="AG28" s="193"/>
      <c r="AH28" s="193"/>
      <c r="AI28" s="193"/>
      <c r="AJ28" s="193"/>
      <c r="AK28" s="193"/>
      <c r="AL28" s="193"/>
      <c r="AM28" s="193"/>
      <c r="AN28" s="193"/>
      <c r="AO28" s="193"/>
      <c r="AP28" s="193"/>
      <c r="AQ28" s="193"/>
      <c r="AR28" s="196">
        <f t="shared" si="2"/>
        <v>0</v>
      </c>
      <c r="AS28" s="194">
        <v>0</v>
      </c>
    </row>
    <row r="29" spans="1:46" ht="20.25" customHeight="1" x14ac:dyDescent="0.3">
      <c r="A29" s="1">
        <v>24</v>
      </c>
      <c r="B29" s="320" t="s">
        <v>77</v>
      </c>
      <c r="C29" s="97">
        <v>250</v>
      </c>
      <c r="D29" s="104" t="s">
        <v>24</v>
      </c>
      <c r="E29" s="186"/>
      <c r="F29" s="197"/>
      <c r="G29" s="188"/>
      <c r="H29" s="189"/>
      <c r="I29" s="188"/>
      <c r="J29" s="189"/>
      <c r="K29" s="188"/>
      <c r="L29" s="190"/>
      <c r="M29" s="191"/>
      <c r="N29" s="192"/>
      <c r="O29" s="193"/>
      <c r="P29" s="193"/>
      <c r="Q29" s="193"/>
      <c r="R29" s="193"/>
      <c r="S29" s="193"/>
      <c r="T29" s="193"/>
      <c r="U29" s="193"/>
      <c r="V29" s="193"/>
      <c r="W29" s="193"/>
      <c r="X29" s="193"/>
      <c r="Y29" s="193"/>
      <c r="Z29" s="193"/>
      <c r="AA29" s="193"/>
      <c r="AB29" s="193"/>
      <c r="AC29" s="193"/>
      <c r="AD29" s="193"/>
      <c r="AE29" s="193"/>
      <c r="AF29" s="193"/>
      <c r="AG29" s="193"/>
      <c r="AH29" s="193"/>
      <c r="AI29" s="193"/>
      <c r="AJ29" s="193"/>
      <c r="AK29" s="193"/>
      <c r="AL29" s="193"/>
      <c r="AM29" s="193"/>
      <c r="AN29" s="193"/>
      <c r="AO29" s="193"/>
      <c r="AP29" s="193"/>
      <c r="AQ29" s="193"/>
      <c r="AR29" s="98">
        <f t="shared" si="2"/>
        <v>0</v>
      </c>
      <c r="AS29" s="194">
        <v>20</v>
      </c>
    </row>
    <row r="30" spans="1:46" ht="20.25" customHeight="1" x14ac:dyDescent="0.3">
      <c r="A30" s="1">
        <v>25</v>
      </c>
      <c r="B30" s="320" t="s">
        <v>78</v>
      </c>
      <c r="C30" s="97">
        <v>250</v>
      </c>
      <c r="D30" s="104" t="s">
        <v>26</v>
      </c>
      <c r="E30" s="186"/>
      <c r="F30" s="187"/>
      <c r="G30" s="188"/>
      <c r="H30" s="189"/>
      <c r="I30" s="188"/>
      <c r="J30" s="189"/>
      <c r="K30" s="188"/>
      <c r="L30" s="190"/>
      <c r="M30" s="191"/>
      <c r="N30" s="192"/>
      <c r="O30" s="193"/>
      <c r="P30" s="193"/>
      <c r="Q30" s="193"/>
      <c r="R30" s="193"/>
      <c r="S30" s="193"/>
      <c r="T30" s="193"/>
      <c r="U30" s="193"/>
      <c r="V30" s="193"/>
      <c r="W30" s="193"/>
      <c r="X30" s="193"/>
      <c r="Y30" s="193"/>
      <c r="Z30" s="193"/>
      <c r="AA30" s="193"/>
      <c r="AB30" s="193"/>
      <c r="AC30" s="193"/>
      <c r="AD30" s="193"/>
      <c r="AE30" s="193"/>
      <c r="AF30" s="193"/>
      <c r="AG30" s="193"/>
      <c r="AH30" s="193"/>
      <c r="AI30" s="193"/>
      <c r="AJ30" s="193"/>
      <c r="AK30" s="193"/>
      <c r="AL30" s="193"/>
      <c r="AM30" s="193"/>
      <c r="AN30" s="193"/>
      <c r="AO30" s="193"/>
      <c r="AP30" s="193"/>
      <c r="AQ30" s="193"/>
      <c r="AR30" s="98">
        <f t="shared" si="2"/>
        <v>0</v>
      </c>
      <c r="AS30" s="194">
        <v>0</v>
      </c>
    </row>
    <row r="31" spans="1:46" ht="20.25" customHeight="1" x14ac:dyDescent="0.3">
      <c r="A31" s="1">
        <v>26</v>
      </c>
      <c r="B31" s="320" t="s">
        <v>79</v>
      </c>
      <c r="C31" s="97">
        <v>250</v>
      </c>
      <c r="D31" s="104" t="s">
        <v>25</v>
      </c>
      <c r="E31" s="186"/>
      <c r="F31" s="198"/>
      <c r="G31" s="188"/>
      <c r="H31" s="189"/>
      <c r="I31" s="188"/>
      <c r="J31" s="189"/>
      <c r="K31" s="188"/>
      <c r="L31" s="190"/>
      <c r="M31" s="191"/>
      <c r="N31" s="192"/>
      <c r="O31" s="193"/>
      <c r="P31" s="193"/>
      <c r="Q31" s="193"/>
      <c r="R31" s="193"/>
      <c r="S31" s="193"/>
      <c r="T31" s="193"/>
      <c r="U31" s="193"/>
      <c r="V31" s="193"/>
      <c r="W31" s="193"/>
      <c r="X31" s="193"/>
      <c r="Y31" s="193"/>
      <c r="Z31" s="193"/>
      <c r="AA31" s="193"/>
      <c r="AB31" s="193"/>
      <c r="AC31" s="193"/>
      <c r="AD31" s="193"/>
      <c r="AE31" s="193"/>
      <c r="AF31" s="193"/>
      <c r="AG31" s="193"/>
      <c r="AH31" s="193"/>
      <c r="AI31" s="193"/>
      <c r="AJ31" s="193"/>
      <c r="AK31" s="193"/>
      <c r="AL31" s="193"/>
      <c r="AM31" s="193"/>
      <c r="AN31" s="193"/>
      <c r="AO31" s="193"/>
      <c r="AP31" s="193"/>
      <c r="AQ31" s="193"/>
      <c r="AR31" s="98">
        <f t="shared" si="2"/>
        <v>0</v>
      </c>
      <c r="AS31" s="194">
        <v>5</v>
      </c>
    </row>
    <row r="32" spans="1:46" ht="20.25" customHeight="1" x14ac:dyDescent="0.3">
      <c r="A32" s="1">
        <v>27</v>
      </c>
      <c r="B32" s="320" t="s">
        <v>33</v>
      </c>
      <c r="C32" s="97">
        <v>850</v>
      </c>
      <c r="D32" s="104"/>
      <c r="E32" s="186"/>
      <c r="F32" s="187"/>
      <c r="G32" s="188"/>
      <c r="H32" s="189"/>
      <c r="I32" s="188"/>
      <c r="J32" s="189"/>
      <c r="K32" s="188"/>
      <c r="L32" s="190"/>
      <c r="M32" s="191"/>
      <c r="N32" s="192"/>
      <c r="O32" s="193"/>
      <c r="P32" s="193"/>
      <c r="Q32" s="193"/>
      <c r="R32" s="193"/>
      <c r="S32" s="193"/>
      <c r="T32" s="193"/>
      <c r="U32" s="193"/>
      <c r="V32" s="193"/>
      <c r="W32" s="193"/>
      <c r="X32" s="193"/>
      <c r="Y32" s="193"/>
      <c r="Z32" s="193"/>
      <c r="AA32" s="193"/>
      <c r="AB32" s="193"/>
      <c r="AC32" s="193"/>
      <c r="AD32" s="193"/>
      <c r="AE32" s="193"/>
      <c r="AF32" s="193"/>
      <c r="AG32" s="193"/>
      <c r="AH32" s="193"/>
      <c r="AI32" s="193"/>
      <c r="AJ32" s="193"/>
      <c r="AK32" s="193"/>
      <c r="AL32" s="193"/>
      <c r="AM32" s="193"/>
      <c r="AN32" s="193"/>
      <c r="AO32" s="193"/>
      <c r="AP32" s="193"/>
      <c r="AQ32" s="193"/>
      <c r="AR32" s="98">
        <f t="shared" si="2"/>
        <v>0</v>
      </c>
      <c r="AS32" s="194">
        <v>1</v>
      </c>
    </row>
    <row r="33" spans="1:45" ht="20.25" customHeight="1" x14ac:dyDescent="0.3">
      <c r="A33" s="1">
        <v>28</v>
      </c>
      <c r="B33" s="324" t="s">
        <v>1</v>
      </c>
      <c r="C33" s="97">
        <v>650</v>
      </c>
      <c r="D33" s="104"/>
      <c r="E33" s="186"/>
      <c r="F33" s="187"/>
      <c r="G33" s="188"/>
      <c r="H33" s="189"/>
      <c r="I33" s="188"/>
      <c r="J33" s="189"/>
      <c r="K33" s="188"/>
      <c r="L33" s="190"/>
      <c r="M33" s="191"/>
      <c r="N33" s="192"/>
      <c r="O33" s="193"/>
      <c r="P33" s="193"/>
      <c r="Q33" s="193"/>
      <c r="R33" s="193"/>
      <c r="S33" s="193"/>
      <c r="T33" s="193"/>
      <c r="U33" s="193"/>
      <c r="V33" s="193"/>
      <c r="W33" s="193"/>
      <c r="X33" s="193"/>
      <c r="Y33" s="193"/>
      <c r="Z33" s="193"/>
      <c r="AA33" s="193"/>
      <c r="AB33" s="193"/>
      <c r="AC33" s="193"/>
      <c r="AD33" s="193"/>
      <c r="AE33" s="193"/>
      <c r="AF33" s="193"/>
      <c r="AG33" s="193"/>
      <c r="AH33" s="193"/>
      <c r="AI33" s="193"/>
      <c r="AJ33" s="193"/>
      <c r="AK33" s="193"/>
      <c r="AL33" s="193"/>
      <c r="AM33" s="193"/>
      <c r="AN33" s="193"/>
      <c r="AO33" s="193"/>
      <c r="AP33" s="193"/>
      <c r="AQ33" s="193"/>
      <c r="AR33" s="98">
        <f t="shared" si="2"/>
        <v>0</v>
      </c>
      <c r="AS33" s="194">
        <v>0</v>
      </c>
    </row>
    <row r="34" spans="1:45" ht="20.25" customHeight="1" x14ac:dyDescent="0.3">
      <c r="A34" s="71">
        <v>29</v>
      </c>
      <c r="B34" s="320" t="s">
        <v>194</v>
      </c>
      <c r="C34" s="97">
        <v>870</v>
      </c>
      <c r="D34" s="104"/>
      <c r="E34" s="195"/>
      <c r="F34" s="187"/>
      <c r="G34" s="188"/>
      <c r="H34" s="189"/>
      <c r="I34" s="188"/>
      <c r="J34" s="189"/>
      <c r="K34" s="188"/>
      <c r="L34" s="190"/>
      <c r="M34" s="191"/>
      <c r="N34" s="192"/>
      <c r="O34" s="193"/>
      <c r="P34" s="193"/>
      <c r="Q34" s="193"/>
      <c r="R34" s="193"/>
      <c r="S34" s="193"/>
      <c r="T34" s="193"/>
      <c r="U34" s="193"/>
      <c r="V34" s="193"/>
      <c r="W34" s="193"/>
      <c r="X34" s="193"/>
      <c r="Y34" s="193"/>
      <c r="Z34" s="193"/>
      <c r="AA34" s="193"/>
      <c r="AB34" s="193"/>
      <c r="AC34" s="193"/>
      <c r="AD34" s="193"/>
      <c r="AE34" s="193"/>
      <c r="AF34" s="193"/>
      <c r="AG34" s="193"/>
      <c r="AH34" s="193"/>
      <c r="AI34" s="193"/>
      <c r="AJ34" s="193"/>
      <c r="AK34" s="193"/>
      <c r="AL34" s="193"/>
      <c r="AM34" s="193"/>
      <c r="AN34" s="193"/>
      <c r="AO34" s="193"/>
      <c r="AP34" s="193"/>
      <c r="AQ34" s="193"/>
      <c r="AR34" s="196">
        <f t="shared" si="2"/>
        <v>0</v>
      </c>
      <c r="AS34" s="194">
        <v>1</v>
      </c>
    </row>
    <row r="35" spans="1:45" ht="20.25" customHeight="1" x14ac:dyDescent="0.3">
      <c r="A35" s="1">
        <v>30</v>
      </c>
      <c r="B35" s="320" t="s">
        <v>27</v>
      </c>
      <c r="C35" s="97">
        <v>150</v>
      </c>
      <c r="D35" s="104"/>
      <c r="E35" s="186"/>
      <c r="F35" s="187"/>
      <c r="G35" s="188"/>
      <c r="H35" s="189"/>
      <c r="I35" s="188"/>
      <c r="J35" s="189"/>
      <c r="K35" s="188"/>
      <c r="L35" s="190"/>
      <c r="M35" s="191"/>
      <c r="N35" s="192"/>
      <c r="O35" s="193"/>
      <c r="P35" s="193"/>
      <c r="Q35" s="193"/>
      <c r="R35" s="193"/>
      <c r="S35" s="193"/>
      <c r="T35" s="193"/>
      <c r="U35" s="193"/>
      <c r="V35" s="193"/>
      <c r="W35" s="193"/>
      <c r="X35" s="193"/>
      <c r="Y35" s="193"/>
      <c r="Z35" s="193"/>
      <c r="AA35" s="193"/>
      <c r="AB35" s="193"/>
      <c r="AC35" s="193"/>
      <c r="AD35" s="193"/>
      <c r="AE35" s="193"/>
      <c r="AF35" s="193"/>
      <c r="AG35" s="193"/>
      <c r="AH35" s="193"/>
      <c r="AI35" s="193"/>
      <c r="AJ35" s="193"/>
      <c r="AK35" s="193"/>
      <c r="AL35" s="193"/>
      <c r="AM35" s="193"/>
      <c r="AN35" s="193"/>
      <c r="AO35" s="193"/>
      <c r="AP35" s="193"/>
      <c r="AQ35" s="193"/>
      <c r="AR35" s="98">
        <f t="shared" si="2"/>
        <v>0</v>
      </c>
      <c r="AS35" s="194">
        <v>0</v>
      </c>
    </row>
    <row r="36" spans="1:45" ht="20.25" customHeight="1" thickBot="1" x14ac:dyDescent="0.35">
      <c r="A36" s="71">
        <v>31</v>
      </c>
      <c r="B36" s="325" t="s">
        <v>89</v>
      </c>
      <c r="C36" s="99" t="s">
        <v>149</v>
      </c>
      <c r="D36" s="101" t="s">
        <v>11</v>
      </c>
      <c r="E36" s="199"/>
      <c r="F36" s="200"/>
      <c r="G36" s="201"/>
      <c r="H36" s="202"/>
      <c r="I36" s="201"/>
      <c r="J36" s="203"/>
      <c r="K36" s="204"/>
      <c r="L36" s="205"/>
      <c r="M36" s="206"/>
      <c r="N36" s="207"/>
      <c r="O36" s="208"/>
      <c r="P36" s="208"/>
      <c r="Q36" s="208"/>
      <c r="R36" s="208"/>
      <c r="S36" s="208"/>
      <c r="T36" s="208"/>
      <c r="U36" s="208"/>
      <c r="V36" s="208"/>
      <c r="W36" s="208"/>
      <c r="X36" s="208"/>
      <c r="Y36" s="208"/>
      <c r="Z36" s="208"/>
      <c r="AA36" s="208"/>
      <c r="AB36" s="208"/>
      <c r="AC36" s="208"/>
      <c r="AD36" s="208"/>
      <c r="AE36" s="208"/>
      <c r="AF36" s="208"/>
      <c r="AG36" s="208"/>
      <c r="AH36" s="208"/>
      <c r="AI36" s="208"/>
      <c r="AJ36" s="208"/>
      <c r="AK36" s="208"/>
      <c r="AL36" s="208"/>
      <c r="AM36" s="208"/>
      <c r="AN36" s="208"/>
      <c r="AO36" s="208"/>
      <c r="AP36" s="208"/>
      <c r="AQ36" s="208"/>
      <c r="AR36" s="209">
        <f t="shared" si="2"/>
        <v>0</v>
      </c>
      <c r="AS36" s="210">
        <v>3</v>
      </c>
    </row>
    <row r="37" spans="1:45" ht="20.25" customHeight="1" thickBot="1" x14ac:dyDescent="0.35">
      <c r="A37" s="332" t="s">
        <v>178</v>
      </c>
      <c r="B37" s="332"/>
      <c r="C37" s="332"/>
      <c r="D37" s="332"/>
      <c r="E37" s="332"/>
      <c r="F37" s="332"/>
      <c r="G37" s="332"/>
      <c r="H37" s="332"/>
      <c r="I37" s="332"/>
      <c r="J37" s="332"/>
      <c r="K37" s="332"/>
      <c r="L37" s="332"/>
      <c r="M37" s="332"/>
      <c r="N37" s="332"/>
      <c r="O37" s="332"/>
      <c r="P37" s="332"/>
      <c r="Q37" s="332"/>
      <c r="R37" s="332"/>
      <c r="S37" s="332"/>
      <c r="T37" s="332"/>
      <c r="U37" s="332"/>
      <c r="V37" s="332"/>
      <c r="W37" s="332"/>
      <c r="X37" s="332"/>
      <c r="Y37" s="332"/>
      <c r="Z37" s="332"/>
      <c r="AA37" s="332"/>
      <c r="AB37" s="332"/>
      <c r="AC37" s="332"/>
      <c r="AD37" s="332"/>
      <c r="AE37" s="332"/>
      <c r="AF37" s="332"/>
      <c r="AG37" s="332"/>
      <c r="AH37" s="332"/>
      <c r="AI37" s="332"/>
      <c r="AJ37" s="332"/>
      <c r="AK37" s="332"/>
      <c r="AL37" s="332"/>
      <c r="AM37" s="332"/>
      <c r="AN37" s="332"/>
      <c r="AO37" s="332"/>
      <c r="AP37" s="332"/>
      <c r="AQ37" s="332"/>
      <c r="AR37" s="332"/>
      <c r="AS37" s="332"/>
    </row>
    <row r="38" spans="1:45" ht="20.25" customHeight="1" x14ac:dyDescent="0.3">
      <c r="A38" s="1">
        <v>32</v>
      </c>
      <c r="B38" s="323" t="s">
        <v>80</v>
      </c>
      <c r="C38" s="96">
        <v>1200</v>
      </c>
      <c r="D38" s="176" t="s">
        <v>81</v>
      </c>
      <c r="E38" s="177"/>
      <c r="F38" s="178"/>
      <c r="G38" s="179"/>
      <c r="H38" s="180"/>
      <c r="I38" s="179"/>
      <c r="J38" s="180"/>
      <c r="K38" s="179"/>
      <c r="L38" s="181"/>
      <c r="M38" s="182"/>
      <c r="N38" s="211"/>
      <c r="O38" s="184"/>
      <c r="P38" s="212"/>
      <c r="Q38" s="212"/>
      <c r="R38" s="212"/>
      <c r="S38" s="212"/>
      <c r="T38" s="212"/>
      <c r="U38" s="212"/>
      <c r="V38" s="212"/>
      <c r="W38" s="212"/>
      <c r="X38" s="212"/>
      <c r="Y38" s="212"/>
      <c r="Z38" s="212"/>
      <c r="AA38" s="212"/>
      <c r="AB38" s="212"/>
      <c r="AC38" s="212"/>
      <c r="AD38" s="212"/>
      <c r="AE38" s="212"/>
      <c r="AF38" s="212"/>
      <c r="AG38" s="212"/>
      <c r="AH38" s="212"/>
      <c r="AI38" s="212"/>
      <c r="AJ38" s="212"/>
      <c r="AK38" s="212"/>
      <c r="AL38" s="212"/>
      <c r="AM38" s="212"/>
      <c r="AN38" s="212"/>
      <c r="AO38" s="212"/>
      <c r="AP38" s="212"/>
      <c r="AQ38" s="212"/>
      <c r="AR38" s="106">
        <f>SUM(E38,G38,I38,K38,M38,-N38,-P38,-R38,-T38,-V38,-X38,-Z38,-AB38,-AD38,-AF38,-AP38,-AH38,-AJ38,-AL38,-AN38)</f>
        <v>0</v>
      </c>
      <c r="AS38" s="213">
        <v>0</v>
      </c>
    </row>
    <row r="39" spans="1:45" ht="20.25" customHeight="1" x14ac:dyDescent="0.3">
      <c r="A39" s="1">
        <v>33</v>
      </c>
      <c r="B39" s="320" t="s">
        <v>0</v>
      </c>
      <c r="C39" s="97">
        <v>600</v>
      </c>
      <c r="D39" s="104" t="s">
        <v>81</v>
      </c>
      <c r="E39" s="186"/>
      <c r="F39" s="187"/>
      <c r="G39" s="188"/>
      <c r="H39" s="189"/>
      <c r="I39" s="188"/>
      <c r="J39" s="189"/>
      <c r="K39" s="188"/>
      <c r="L39" s="190"/>
      <c r="M39" s="191"/>
      <c r="N39" s="214"/>
      <c r="O39" s="215"/>
      <c r="P39" s="215"/>
      <c r="Q39" s="215"/>
      <c r="R39" s="215"/>
      <c r="S39" s="215"/>
      <c r="T39" s="215"/>
      <c r="U39" s="215"/>
      <c r="V39" s="215"/>
      <c r="W39" s="215"/>
      <c r="X39" s="215"/>
      <c r="Y39" s="215"/>
      <c r="Z39" s="215"/>
      <c r="AA39" s="215"/>
      <c r="AB39" s="215"/>
      <c r="AC39" s="215"/>
      <c r="AD39" s="215"/>
      <c r="AE39" s="215"/>
      <c r="AF39" s="215"/>
      <c r="AG39" s="215"/>
      <c r="AH39" s="215"/>
      <c r="AI39" s="215"/>
      <c r="AJ39" s="215"/>
      <c r="AK39" s="215"/>
      <c r="AL39" s="215"/>
      <c r="AM39" s="215"/>
      <c r="AN39" s="215"/>
      <c r="AO39" s="215"/>
      <c r="AP39" s="215"/>
      <c r="AQ39" s="215"/>
      <c r="AR39" s="98">
        <f t="shared" ref="AR39:AR41" si="3">SUM(E39,G39,I39,K39,M39,-N39,-P39,-R39,-T39,-V39,-X39,-Z39,-AB39,-AD39,-AF39,-AP39,-AH39,-AJ39,-AL39,-AN39)</f>
        <v>0</v>
      </c>
      <c r="AS39" s="216">
        <v>0</v>
      </c>
    </row>
    <row r="40" spans="1:45" ht="20.25" customHeight="1" x14ac:dyDescent="0.3">
      <c r="A40" s="1">
        <v>34</v>
      </c>
      <c r="B40" s="320" t="s">
        <v>192</v>
      </c>
      <c r="C40" s="97">
        <v>600</v>
      </c>
      <c r="D40" s="104" t="s">
        <v>30</v>
      </c>
      <c r="E40" s="186"/>
      <c r="F40" s="187"/>
      <c r="G40" s="188"/>
      <c r="H40" s="189"/>
      <c r="I40" s="188"/>
      <c r="J40" s="189"/>
      <c r="K40" s="188"/>
      <c r="L40" s="190"/>
      <c r="M40" s="191"/>
      <c r="N40" s="214"/>
      <c r="O40" s="215"/>
      <c r="P40" s="215"/>
      <c r="Q40" s="215"/>
      <c r="R40" s="215"/>
      <c r="S40" s="215"/>
      <c r="T40" s="215"/>
      <c r="U40" s="215"/>
      <c r="V40" s="215"/>
      <c r="W40" s="215"/>
      <c r="X40" s="215"/>
      <c r="Y40" s="215"/>
      <c r="Z40" s="215"/>
      <c r="AA40" s="215"/>
      <c r="AB40" s="215"/>
      <c r="AC40" s="215"/>
      <c r="AD40" s="215"/>
      <c r="AE40" s="215"/>
      <c r="AF40" s="215"/>
      <c r="AG40" s="215"/>
      <c r="AH40" s="215"/>
      <c r="AI40" s="215"/>
      <c r="AJ40" s="215"/>
      <c r="AK40" s="215"/>
      <c r="AL40" s="215"/>
      <c r="AM40" s="215"/>
      <c r="AN40" s="215"/>
      <c r="AO40" s="215"/>
      <c r="AP40" s="215"/>
      <c r="AQ40" s="215"/>
      <c r="AR40" s="98">
        <f t="shared" si="3"/>
        <v>0</v>
      </c>
      <c r="AS40" s="216">
        <v>0</v>
      </c>
    </row>
    <row r="41" spans="1:45" ht="20.25" customHeight="1" x14ac:dyDescent="0.3">
      <c r="A41" s="71">
        <v>35</v>
      </c>
      <c r="B41" s="320" t="s">
        <v>175</v>
      </c>
      <c r="C41" s="98" t="s">
        <v>108</v>
      </c>
      <c r="D41" s="104" t="s">
        <v>31</v>
      </c>
      <c r="E41" s="195"/>
      <c r="F41" s="187"/>
      <c r="G41" s="188"/>
      <c r="H41" s="189"/>
      <c r="I41" s="188"/>
      <c r="J41" s="189"/>
      <c r="K41" s="188"/>
      <c r="L41" s="190"/>
      <c r="M41" s="191"/>
      <c r="N41" s="214"/>
      <c r="O41" s="215"/>
      <c r="P41" s="215"/>
      <c r="Q41" s="215"/>
      <c r="R41" s="215"/>
      <c r="S41" s="215"/>
      <c r="T41" s="215"/>
      <c r="U41" s="215"/>
      <c r="V41" s="215"/>
      <c r="W41" s="215"/>
      <c r="X41" s="215"/>
      <c r="Y41" s="215"/>
      <c r="Z41" s="215"/>
      <c r="AA41" s="215"/>
      <c r="AB41" s="215"/>
      <c r="AC41" s="215"/>
      <c r="AD41" s="215"/>
      <c r="AE41" s="215"/>
      <c r="AF41" s="215"/>
      <c r="AG41" s="215"/>
      <c r="AH41" s="215"/>
      <c r="AI41" s="215"/>
      <c r="AJ41" s="215"/>
      <c r="AK41" s="215"/>
      <c r="AL41" s="215"/>
      <c r="AM41" s="215"/>
      <c r="AN41" s="215"/>
      <c r="AO41" s="215"/>
      <c r="AP41" s="215"/>
      <c r="AQ41" s="215"/>
      <c r="AR41" s="196">
        <f t="shared" si="3"/>
        <v>0</v>
      </c>
      <c r="AS41" s="216">
        <v>8</v>
      </c>
    </row>
    <row r="42" spans="1:45" ht="20.25" customHeight="1" x14ac:dyDescent="0.3">
      <c r="A42" s="1">
        <v>36</v>
      </c>
      <c r="B42" s="326"/>
      <c r="C42" s="100"/>
      <c r="D42" s="100"/>
      <c r="E42" s="217"/>
      <c r="F42" s="218"/>
      <c r="G42" s="219"/>
      <c r="H42" s="220"/>
      <c r="I42" s="219"/>
      <c r="J42" s="220"/>
      <c r="K42" s="219"/>
      <c r="L42" s="221"/>
      <c r="M42" s="222"/>
      <c r="N42" s="223"/>
      <c r="O42" s="224"/>
      <c r="P42" s="224"/>
      <c r="Q42" s="224"/>
      <c r="R42" s="224"/>
      <c r="S42" s="224"/>
      <c r="T42" s="224"/>
      <c r="U42" s="224"/>
      <c r="V42" s="224"/>
      <c r="W42" s="224"/>
      <c r="X42" s="224"/>
      <c r="Y42" s="224"/>
      <c r="Z42" s="224"/>
      <c r="AA42" s="224"/>
      <c r="AB42" s="224"/>
      <c r="AC42" s="224"/>
      <c r="AD42" s="224"/>
      <c r="AE42" s="224"/>
      <c r="AF42" s="224"/>
      <c r="AG42" s="224"/>
      <c r="AH42" s="224"/>
      <c r="AI42" s="224"/>
      <c r="AJ42" s="224"/>
      <c r="AK42" s="224"/>
      <c r="AL42" s="224"/>
      <c r="AM42" s="224"/>
      <c r="AN42" s="224"/>
      <c r="AO42" s="224"/>
      <c r="AP42" s="224"/>
      <c r="AQ42" s="224"/>
      <c r="AR42" s="102"/>
      <c r="AS42" s="225"/>
    </row>
    <row r="43" spans="1:45" ht="20.25" customHeight="1" thickBot="1" x14ac:dyDescent="0.35">
      <c r="A43" s="1">
        <v>37</v>
      </c>
      <c r="B43" s="325"/>
      <c r="C43" s="101"/>
      <c r="D43" s="101"/>
      <c r="E43" s="199"/>
      <c r="F43" s="226"/>
      <c r="G43" s="204"/>
      <c r="H43" s="203"/>
      <c r="I43" s="204"/>
      <c r="J43" s="203"/>
      <c r="K43" s="204"/>
      <c r="L43" s="205"/>
      <c r="M43" s="206"/>
      <c r="N43" s="227"/>
      <c r="O43" s="228"/>
      <c r="P43" s="228"/>
      <c r="Q43" s="228"/>
      <c r="R43" s="228"/>
      <c r="S43" s="228"/>
      <c r="T43" s="228"/>
      <c r="U43" s="228"/>
      <c r="V43" s="228"/>
      <c r="W43" s="228"/>
      <c r="X43" s="228"/>
      <c r="Y43" s="228"/>
      <c r="Z43" s="228"/>
      <c r="AA43" s="228"/>
      <c r="AB43" s="228"/>
      <c r="AC43" s="228"/>
      <c r="AD43" s="228"/>
      <c r="AE43" s="228"/>
      <c r="AF43" s="228"/>
      <c r="AG43" s="228"/>
      <c r="AH43" s="228"/>
      <c r="AI43" s="228"/>
      <c r="AJ43" s="228"/>
      <c r="AK43" s="228"/>
      <c r="AL43" s="228"/>
      <c r="AM43" s="228"/>
      <c r="AN43" s="228"/>
      <c r="AO43" s="228"/>
      <c r="AP43" s="228"/>
      <c r="AQ43" s="228"/>
      <c r="AR43" s="99"/>
      <c r="AS43" s="229"/>
    </row>
    <row r="44" spans="1:45" ht="20.25" customHeight="1" thickBot="1" x14ac:dyDescent="0.35">
      <c r="A44" s="332" t="s">
        <v>180</v>
      </c>
      <c r="B44" s="332"/>
      <c r="C44" s="332"/>
      <c r="D44" s="332"/>
      <c r="E44" s="332"/>
      <c r="F44" s="332"/>
      <c r="G44" s="332"/>
      <c r="H44" s="332"/>
      <c r="I44" s="332"/>
      <c r="J44" s="332"/>
      <c r="K44" s="332"/>
      <c r="L44" s="332"/>
      <c r="M44" s="332"/>
      <c r="N44" s="332"/>
      <c r="O44" s="332"/>
      <c r="P44" s="332"/>
      <c r="Q44" s="332"/>
      <c r="R44" s="332"/>
      <c r="S44" s="332"/>
      <c r="T44" s="332"/>
      <c r="U44" s="332"/>
      <c r="V44" s="332"/>
      <c r="W44" s="332"/>
      <c r="X44" s="332"/>
      <c r="Y44" s="332"/>
      <c r="Z44" s="332"/>
      <c r="AA44" s="332"/>
      <c r="AB44" s="332"/>
      <c r="AC44" s="332"/>
      <c r="AD44" s="332"/>
      <c r="AE44" s="332"/>
      <c r="AF44" s="332"/>
      <c r="AG44" s="332"/>
      <c r="AH44" s="332"/>
      <c r="AI44" s="332"/>
      <c r="AJ44" s="332"/>
      <c r="AK44" s="332"/>
      <c r="AL44" s="332"/>
      <c r="AM44" s="332"/>
      <c r="AN44" s="332"/>
      <c r="AO44" s="332"/>
      <c r="AP44" s="332"/>
      <c r="AQ44" s="332"/>
      <c r="AR44" s="332"/>
      <c r="AS44" s="332"/>
    </row>
    <row r="45" spans="1:45" ht="20.25" customHeight="1" x14ac:dyDescent="0.3">
      <c r="A45" s="71">
        <v>38</v>
      </c>
      <c r="B45" s="323" t="s">
        <v>172</v>
      </c>
      <c r="C45" s="96">
        <v>275</v>
      </c>
      <c r="D45" s="176" t="s">
        <v>167</v>
      </c>
      <c r="E45" s="230"/>
      <c r="F45" s="178"/>
      <c r="G45" s="231"/>
      <c r="H45" s="180"/>
      <c r="I45" s="179"/>
      <c r="J45" s="232"/>
      <c r="K45" s="179"/>
      <c r="L45" s="181"/>
      <c r="M45" s="182"/>
      <c r="N45" s="211"/>
      <c r="O45" s="212"/>
      <c r="P45" s="212"/>
      <c r="Q45" s="212"/>
      <c r="R45" s="212"/>
      <c r="S45" s="212"/>
      <c r="T45" s="212"/>
      <c r="U45" s="212"/>
      <c r="V45" s="212"/>
      <c r="W45" s="212"/>
      <c r="X45" s="212"/>
      <c r="Y45" s="212"/>
      <c r="Z45" s="212"/>
      <c r="AA45" s="212"/>
      <c r="AB45" s="212"/>
      <c r="AC45" s="212"/>
      <c r="AD45" s="212"/>
      <c r="AE45" s="212"/>
      <c r="AF45" s="212"/>
      <c r="AG45" s="212"/>
      <c r="AH45" s="212"/>
      <c r="AI45" s="212"/>
      <c r="AJ45" s="212"/>
      <c r="AK45" s="212"/>
      <c r="AL45" s="212"/>
      <c r="AM45" s="212"/>
      <c r="AN45" s="212"/>
      <c r="AO45" s="212"/>
      <c r="AP45" s="212"/>
      <c r="AQ45" s="212"/>
      <c r="AR45" s="233">
        <f>SUM(E45,G45,I45,K45,M45,-N45,-P45,-R45,-T45,-V45,-X45,-Z45,-AB45,-AD45,-AF45,-AP45,-AH45,-AJ45,-AL45,-AN45)</f>
        <v>0</v>
      </c>
      <c r="AS45" s="213">
        <v>7</v>
      </c>
    </row>
    <row r="46" spans="1:45" ht="20.25" customHeight="1" x14ac:dyDescent="0.3">
      <c r="A46" s="71">
        <v>39</v>
      </c>
      <c r="B46" s="320" t="s">
        <v>147</v>
      </c>
      <c r="C46" s="98" t="s">
        <v>149</v>
      </c>
      <c r="D46" s="104" t="s">
        <v>32</v>
      </c>
      <c r="E46" s="195"/>
      <c r="F46" s="187"/>
      <c r="G46" s="188"/>
      <c r="H46" s="189"/>
      <c r="I46" s="188"/>
      <c r="J46" s="189"/>
      <c r="K46" s="188"/>
      <c r="L46" s="190"/>
      <c r="M46" s="191"/>
      <c r="N46" s="192"/>
      <c r="O46" s="193"/>
      <c r="P46" s="193"/>
      <c r="Q46" s="193"/>
      <c r="R46" s="193"/>
      <c r="S46" s="193"/>
      <c r="T46" s="193"/>
      <c r="U46" s="193"/>
      <c r="V46" s="193"/>
      <c r="W46" s="193"/>
      <c r="X46" s="193"/>
      <c r="Y46" s="193"/>
      <c r="Z46" s="193"/>
      <c r="AA46" s="193"/>
      <c r="AB46" s="193"/>
      <c r="AC46" s="193"/>
      <c r="AD46" s="193"/>
      <c r="AE46" s="193"/>
      <c r="AF46" s="193"/>
      <c r="AG46" s="193"/>
      <c r="AH46" s="193"/>
      <c r="AI46" s="193"/>
      <c r="AJ46" s="193"/>
      <c r="AK46" s="193"/>
      <c r="AL46" s="193"/>
      <c r="AM46" s="193"/>
      <c r="AN46" s="193"/>
      <c r="AO46" s="193"/>
      <c r="AP46" s="193"/>
      <c r="AQ46" s="193"/>
      <c r="AR46" s="196">
        <f t="shared" ref="AR46:AR54" si="4">SUM(E46,G46,I46,K46,M46,-N46,-P46,-R46,-T46,-V46,-X46,-Z46,-AB46,-AD46,-AF46,-AP46,-AH46,-AJ46,-AL46,-AN46)</f>
        <v>0</v>
      </c>
      <c r="AS46" s="194">
        <v>2</v>
      </c>
    </row>
    <row r="47" spans="1:45" ht="20.25" customHeight="1" x14ac:dyDescent="0.3">
      <c r="A47" s="71">
        <v>40</v>
      </c>
      <c r="B47" s="320" t="s">
        <v>66</v>
      </c>
      <c r="C47" s="98" t="s">
        <v>149</v>
      </c>
      <c r="D47" s="104" t="s">
        <v>11</v>
      </c>
      <c r="E47" s="195"/>
      <c r="F47" s="187"/>
      <c r="G47" s="234"/>
      <c r="H47" s="189"/>
      <c r="I47" s="188"/>
      <c r="J47" s="189"/>
      <c r="K47" s="188"/>
      <c r="L47" s="190"/>
      <c r="M47" s="191"/>
      <c r="N47" s="192"/>
      <c r="O47" s="193"/>
      <c r="P47" s="193"/>
      <c r="Q47" s="193"/>
      <c r="R47" s="193"/>
      <c r="S47" s="193"/>
      <c r="T47" s="193"/>
      <c r="U47" s="193"/>
      <c r="V47" s="193"/>
      <c r="W47" s="193"/>
      <c r="X47" s="193"/>
      <c r="Y47" s="193"/>
      <c r="Z47" s="193"/>
      <c r="AA47" s="193"/>
      <c r="AB47" s="193"/>
      <c r="AC47" s="193"/>
      <c r="AD47" s="193"/>
      <c r="AE47" s="193"/>
      <c r="AF47" s="193"/>
      <c r="AG47" s="193"/>
      <c r="AH47" s="193"/>
      <c r="AI47" s="193"/>
      <c r="AJ47" s="193"/>
      <c r="AK47" s="193"/>
      <c r="AL47" s="193"/>
      <c r="AM47" s="193"/>
      <c r="AN47" s="193"/>
      <c r="AO47" s="193"/>
      <c r="AP47" s="193"/>
      <c r="AQ47" s="193"/>
      <c r="AR47" s="196">
        <f t="shared" si="4"/>
        <v>0</v>
      </c>
      <c r="AS47" s="194">
        <v>3</v>
      </c>
    </row>
    <row r="48" spans="1:45" ht="20.25" customHeight="1" x14ac:dyDescent="0.3">
      <c r="A48" s="71">
        <v>41</v>
      </c>
      <c r="B48" s="320" t="s">
        <v>34</v>
      </c>
      <c r="C48" s="97">
        <v>200</v>
      </c>
      <c r="D48" s="104" t="s">
        <v>44</v>
      </c>
      <c r="E48" s="195"/>
      <c r="F48" s="187"/>
      <c r="G48" s="234"/>
      <c r="H48" s="189"/>
      <c r="I48" s="188"/>
      <c r="J48" s="189"/>
      <c r="K48" s="188"/>
      <c r="L48" s="190"/>
      <c r="M48" s="191"/>
      <c r="N48" s="214"/>
      <c r="O48" s="215"/>
      <c r="P48" s="215"/>
      <c r="Q48" s="215"/>
      <c r="R48" s="215"/>
      <c r="S48" s="215"/>
      <c r="T48" s="215"/>
      <c r="U48" s="215"/>
      <c r="V48" s="215"/>
      <c r="W48" s="215"/>
      <c r="X48" s="215"/>
      <c r="Y48" s="215"/>
      <c r="Z48" s="215"/>
      <c r="AA48" s="215"/>
      <c r="AB48" s="215"/>
      <c r="AC48" s="215"/>
      <c r="AD48" s="215"/>
      <c r="AE48" s="215"/>
      <c r="AF48" s="215"/>
      <c r="AG48" s="215"/>
      <c r="AH48" s="215"/>
      <c r="AI48" s="215"/>
      <c r="AJ48" s="215"/>
      <c r="AK48" s="215"/>
      <c r="AL48" s="215"/>
      <c r="AM48" s="215"/>
      <c r="AN48" s="215"/>
      <c r="AO48" s="215"/>
      <c r="AP48" s="215"/>
      <c r="AQ48" s="215"/>
      <c r="AR48" s="196">
        <f t="shared" si="4"/>
        <v>0</v>
      </c>
      <c r="AS48" s="216">
        <v>19</v>
      </c>
    </row>
    <row r="49" spans="1:46" ht="20.25" customHeight="1" x14ac:dyDescent="0.3">
      <c r="A49" s="71">
        <v>42</v>
      </c>
      <c r="B49" s="320" t="s">
        <v>35</v>
      </c>
      <c r="C49" s="97">
        <v>250</v>
      </c>
      <c r="D49" s="235" t="s">
        <v>36</v>
      </c>
      <c r="E49" s="195"/>
      <c r="F49" s="187"/>
      <c r="G49" s="188"/>
      <c r="H49" s="189"/>
      <c r="I49" s="188"/>
      <c r="J49" s="189"/>
      <c r="K49" s="188"/>
      <c r="L49" s="190"/>
      <c r="M49" s="191"/>
      <c r="N49" s="236"/>
      <c r="O49" s="237"/>
      <c r="P49" s="193"/>
      <c r="Q49" s="193"/>
      <c r="R49" s="193"/>
      <c r="S49" s="193"/>
      <c r="T49" s="193"/>
      <c r="U49" s="193"/>
      <c r="V49" s="193"/>
      <c r="W49" s="193"/>
      <c r="X49" s="193"/>
      <c r="Y49" s="193"/>
      <c r="Z49" s="193"/>
      <c r="AA49" s="193"/>
      <c r="AB49" s="193"/>
      <c r="AC49" s="193"/>
      <c r="AD49" s="193"/>
      <c r="AE49" s="193"/>
      <c r="AF49" s="193"/>
      <c r="AG49" s="193"/>
      <c r="AH49" s="193"/>
      <c r="AI49" s="193"/>
      <c r="AJ49" s="193"/>
      <c r="AK49" s="193"/>
      <c r="AL49" s="193"/>
      <c r="AM49" s="193"/>
      <c r="AN49" s="193"/>
      <c r="AO49" s="193"/>
      <c r="AP49" s="193"/>
      <c r="AQ49" s="193"/>
      <c r="AR49" s="196">
        <f t="shared" si="4"/>
        <v>0</v>
      </c>
      <c r="AS49" s="216">
        <v>0</v>
      </c>
    </row>
    <row r="50" spans="1:46" ht="20.25" customHeight="1" x14ac:dyDescent="0.3">
      <c r="A50" s="71">
        <v>43</v>
      </c>
      <c r="B50" s="320" t="s">
        <v>187</v>
      </c>
      <c r="C50" s="97">
        <v>750</v>
      </c>
      <c r="D50" s="235" t="s">
        <v>11</v>
      </c>
      <c r="E50" s="195"/>
      <c r="F50" s="238"/>
      <c r="G50" s="234"/>
      <c r="H50" s="189"/>
      <c r="I50" s="234"/>
      <c r="J50" s="189"/>
      <c r="K50" s="188"/>
      <c r="L50" s="190"/>
      <c r="M50" s="191"/>
      <c r="N50" s="236"/>
      <c r="O50" s="237"/>
      <c r="P50" s="193"/>
      <c r="Q50" s="193"/>
      <c r="R50" s="193"/>
      <c r="S50" s="193"/>
      <c r="T50" s="193"/>
      <c r="U50" s="193"/>
      <c r="V50" s="193"/>
      <c r="W50" s="193"/>
      <c r="X50" s="193"/>
      <c r="Y50" s="193"/>
      <c r="Z50" s="193"/>
      <c r="AA50" s="193"/>
      <c r="AB50" s="193"/>
      <c r="AC50" s="193"/>
      <c r="AD50" s="193"/>
      <c r="AE50" s="193"/>
      <c r="AF50" s="193"/>
      <c r="AG50" s="193"/>
      <c r="AH50" s="193"/>
      <c r="AI50" s="193"/>
      <c r="AJ50" s="193"/>
      <c r="AK50" s="193"/>
      <c r="AL50" s="193"/>
      <c r="AM50" s="193"/>
      <c r="AN50" s="193"/>
      <c r="AO50" s="193"/>
      <c r="AP50" s="193"/>
      <c r="AQ50" s="193"/>
      <c r="AR50" s="196">
        <f t="shared" si="4"/>
        <v>0</v>
      </c>
      <c r="AS50" s="216">
        <v>4</v>
      </c>
    </row>
    <row r="51" spans="1:46" ht="20.25" customHeight="1" x14ac:dyDescent="0.3">
      <c r="A51" s="71">
        <v>44</v>
      </c>
      <c r="B51" s="320" t="s">
        <v>92</v>
      </c>
      <c r="C51" s="97">
        <v>3500</v>
      </c>
      <c r="D51" s="235" t="s">
        <v>113</v>
      </c>
      <c r="E51" s="186"/>
      <c r="F51" s="239"/>
      <c r="G51" s="234"/>
      <c r="H51" s="189"/>
      <c r="I51" s="188"/>
      <c r="J51" s="189"/>
      <c r="K51" s="188"/>
      <c r="L51" s="190"/>
      <c r="M51" s="191"/>
      <c r="N51" s="236"/>
      <c r="O51" s="237"/>
      <c r="P51" s="193"/>
      <c r="Q51" s="193"/>
      <c r="R51" s="193"/>
      <c r="S51" s="193"/>
      <c r="T51" s="193"/>
      <c r="U51" s="193"/>
      <c r="V51" s="193"/>
      <c r="W51" s="193"/>
      <c r="X51" s="193"/>
      <c r="Y51" s="193"/>
      <c r="Z51" s="193"/>
      <c r="AA51" s="193"/>
      <c r="AB51" s="193"/>
      <c r="AC51" s="193"/>
      <c r="AD51" s="193"/>
      <c r="AE51" s="193"/>
      <c r="AF51" s="193"/>
      <c r="AG51" s="193"/>
      <c r="AH51" s="193"/>
      <c r="AI51" s="193"/>
      <c r="AJ51" s="193"/>
      <c r="AK51" s="193"/>
      <c r="AL51" s="193"/>
      <c r="AM51" s="193"/>
      <c r="AN51" s="193"/>
      <c r="AO51" s="193"/>
      <c r="AP51" s="193"/>
      <c r="AQ51" s="193"/>
      <c r="AR51" s="196">
        <f t="shared" si="4"/>
        <v>0</v>
      </c>
      <c r="AS51" s="216">
        <v>0</v>
      </c>
    </row>
    <row r="52" spans="1:46" ht="20.25" customHeight="1" x14ac:dyDescent="0.3">
      <c r="A52" s="71">
        <v>45</v>
      </c>
      <c r="B52" s="320" t="s">
        <v>122</v>
      </c>
      <c r="C52" s="98" t="s">
        <v>124</v>
      </c>
      <c r="D52" s="235" t="s">
        <v>123</v>
      </c>
      <c r="E52" s="186"/>
      <c r="F52" s="187"/>
      <c r="G52" s="234"/>
      <c r="H52" s="189"/>
      <c r="I52" s="188"/>
      <c r="J52" s="189"/>
      <c r="K52" s="188"/>
      <c r="L52" s="190"/>
      <c r="M52" s="191"/>
      <c r="N52" s="192"/>
      <c r="O52" s="193"/>
      <c r="P52" s="193"/>
      <c r="Q52" s="193"/>
      <c r="R52" s="193"/>
      <c r="S52" s="193"/>
      <c r="T52" s="193"/>
      <c r="U52" s="193"/>
      <c r="V52" s="193"/>
      <c r="W52" s="193"/>
      <c r="X52" s="193"/>
      <c r="Y52" s="193"/>
      <c r="Z52" s="193"/>
      <c r="AA52" s="193"/>
      <c r="AB52" s="193"/>
      <c r="AC52" s="193"/>
      <c r="AD52" s="193"/>
      <c r="AE52" s="193"/>
      <c r="AF52" s="193"/>
      <c r="AG52" s="193"/>
      <c r="AH52" s="193"/>
      <c r="AI52" s="193"/>
      <c r="AJ52" s="193"/>
      <c r="AK52" s="193"/>
      <c r="AL52" s="193"/>
      <c r="AM52" s="193"/>
      <c r="AN52" s="193"/>
      <c r="AO52" s="193"/>
      <c r="AP52" s="193"/>
      <c r="AQ52" s="193"/>
      <c r="AR52" s="196">
        <f t="shared" si="4"/>
        <v>0</v>
      </c>
      <c r="AS52" s="216">
        <v>2</v>
      </c>
    </row>
    <row r="53" spans="1:46" ht="20.25" customHeight="1" x14ac:dyDescent="0.3">
      <c r="A53" s="71">
        <v>46</v>
      </c>
      <c r="B53" s="326" t="s">
        <v>128</v>
      </c>
      <c r="C53" s="102" t="s">
        <v>103</v>
      </c>
      <c r="D53" s="240" t="s">
        <v>127</v>
      </c>
      <c r="E53" s="103"/>
      <c r="F53" s="241"/>
      <c r="G53" s="242"/>
      <c r="H53" s="220"/>
      <c r="I53" s="219"/>
      <c r="J53" s="220"/>
      <c r="K53" s="219"/>
      <c r="L53" s="221"/>
      <c r="M53" s="222"/>
      <c r="N53" s="243"/>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5">
        <f t="shared" si="4"/>
        <v>0</v>
      </c>
      <c r="AS53" s="225">
        <v>2</v>
      </c>
      <c r="AT53" s="2" t="s">
        <v>202</v>
      </c>
    </row>
    <row r="54" spans="1:46" ht="20.25" customHeight="1" thickBot="1" x14ac:dyDescent="0.35">
      <c r="A54" s="71">
        <v>47</v>
      </c>
      <c r="B54" s="325" t="s">
        <v>151</v>
      </c>
      <c r="C54" s="99" t="s">
        <v>152</v>
      </c>
      <c r="D54" s="246"/>
      <c r="E54" s="247"/>
      <c r="F54" s="226"/>
      <c r="G54" s="204"/>
      <c r="H54" s="203"/>
      <c r="I54" s="204"/>
      <c r="J54" s="203"/>
      <c r="K54" s="204"/>
      <c r="L54" s="205"/>
      <c r="M54" s="206"/>
      <c r="N54" s="207"/>
      <c r="O54" s="208"/>
      <c r="P54" s="208"/>
      <c r="Q54" s="208"/>
      <c r="R54" s="208"/>
      <c r="S54" s="208"/>
      <c r="T54" s="208"/>
      <c r="U54" s="208"/>
      <c r="V54" s="208"/>
      <c r="W54" s="208"/>
      <c r="X54" s="208"/>
      <c r="Y54" s="208"/>
      <c r="Z54" s="208"/>
      <c r="AA54" s="208"/>
      <c r="AB54" s="208"/>
      <c r="AC54" s="208"/>
      <c r="AD54" s="208"/>
      <c r="AE54" s="208"/>
      <c r="AF54" s="208"/>
      <c r="AG54" s="208"/>
      <c r="AH54" s="208"/>
      <c r="AI54" s="208"/>
      <c r="AJ54" s="208"/>
      <c r="AK54" s="208"/>
      <c r="AL54" s="208"/>
      <c r="AM54" s="208"/>
      <c r="AN54" s="208"/>
      <c r="AO54" s="208"/>
      <c r="AP54" s="208"/>
      <c r="AQ54" s="208"/>
      <c r="AR54" s="209">
        <f t="shared" si="4"/>
        <v>0</v>
      </c>
      <c r="AS54" s="229">
        <v>0</v>
      </c>
    </row>
    <row r="55" spans="1:46" ht="20.25" customHeight="1" thickBot="1" x14ac:dyDescent="0.35">
      <c r="A55" s="332" t="s">
        <v>179</v>
      </c>
      <c r="B55" s="332"/>
      <c r="C55" s="332"/>
      <c r="D55" s="332"/>
      <c r="E55" s="332"/>
      <c r="F55" s="332"/>
      <c r="G55" s="332"/>
      <c r="H55" s="332"/>
      <c r="I55" s="332"/>
      <c r="J55" s="332"/>
      <c r="K55" s="332"/>
      <c r="L55" s="332"/>
      <c r="M55" s="332"/>
      <c r="N55" s="332"/>
      <c r="O55" s="332"/>
      <c r="P55" s="332"/>
      <c r="Q55" s="332"/>
      <c r="R55" s="332"/>
      <c r="S55" s="332"/>
      <c r="T55" s="332"/>
      <c r="U55" s="332"/>
      <c r="V55" s="332"/>
      <c r="W55" s="332"/>
      <c r="X55" s="332"/>
      <c r="Y55" s="332"/>
      <c r="Z55" s="332"/>
      <c r="AA55" s="332"/>
      <c r="AB55" s="332"/>
      <c r="AC55" s="332"/>
      <c r="AD55" s="332"/>
      <c r="AE55" s="332"/>
      <c r="AF55" s="332"/>
      <c r="AG55" s="332"/>
      <c r="AH55" s="332"/>
      <c r="AI55" s="332"/>
      <c r="AJ55" s="332"/>
      <c r="AK55" s="332"/>
      <c r="AL55" s="332"/>
      <c r="AM55" s="332"/>
      <c r="AN55" s="332"/>
      <c r="AO55" s="332"/>
      <c r="AP55" s="332"/>
      <c r="AQ55" s="332"/>
      <c r="AR55" s="332"/>
      <c r="AS55" s="332"/>
    </row>
    <row r="56" spans="1:46" ht="20.25" customHeight="1" x14ac:dyDescent="0.3">
      <c r="A56" s="1">
        <v>48</v>
      </c>
      <c r="B56" s="323" t="s">
        <v>40</v>
      </c>
      <c r="C56" s="96">
        <v>250</v>
      </c>
      <c r="D56" s="248" t="s">
        <v>41</v>
      </c>
      <c r="E56" s="177"/>
      <c r="F56" s="178"/>
      <c r="G56" s="179"/>
      <c r="H56" s="180"/>
      <c r="I56" s="179"/>
      <c r="J56" s="180"/>
      <c r="K56" s="179"/>
      <c r="L56" s="181"/>
      <c r="M56" s="182"/>
      <c r="N56" s="183"/>
      <c r="O56" s="184"/>
      <c r="P56" s="184"/>
      <c r="Q56" s="184"/>
      <c r="R56" s="184"/>
      <c r="S56" s="184"/>
      <c r="T56" s="184"/>
      <c r="U56" s="184"/>
      <c r="V56" s="184"/>
      <c r="W56" s="184"/>
      <c r="X56" s="184"/>
      <c r="Y56" s="184"/>
      <c r="Z56" s="184"/>
      <c r="AA56" s="184"/>
      <c r="AB56" s="184"/>
      <c r="AC56" s="184"/>
      <c r="AD56" s="184"/>
      <c r="AE56" s="184"/>
      <c r="AF56" s="184"/>
      <c r="AG56" s="184"/>
      <c r="AH56" s="184"/>
      <c r="AI56" s="184"/>
      <c r="AJ56" s="184"/>
      <c r="AK56" s="184"/>
      <c r="AL56" s="184"/>
      <c r="AM56" s="184"/>
      <c r="AN56" s="184"/>
      <c r="AO56" s="184"/>
      <c r="AP56" s="184"/>
      <c r="AQ56" s="184"/>
      <c r="AR56" s="106">
        <f>SUM(E56,G56,I56,K56,M56,-N56,-P56,-R56,-T56,-V56,-X56,-Z56,-AB56,-AD56,-AF56,-AP56,-AH56,-AJ56,-AL56,-AN56)</f>
        <v>0</v>
      </c>
      <c r="AS56" s="213">
        <v>0</v>
      </c>
    </row>
    <row r="57" spans="1:46" s="34" customFormat="1" ht="20.25" customHeight="1" x14ac:dyDescent="0.3">
      <c r="A57" s="312">
        <v>49</v>
      </c>
      <c r="B57" s="320" t="s">
        <v>93</v>
      </c>
      <c r="C57" s="97">
        <v>650</v>
      </c>
      <c r="D57" s="235" t="s">
        <v>42</v>
      </c>
      <c r="E57" s="186"/>
      <c r="F57" s="249"/>
      <c r="G57" s="250"/>
      <c r="H57" s="251"/>
      <c r="I57" s="250"/>
      <c r="J57" s="251"/>
      <c r="K57" s="250"/>
      <c r="L57" s="251"/>
      <c r="M57" s="252"/>
      <c r="N57" s="214"/>
      <c r="O57" s="215"/>
      <c r="P57" s="215"/>
      <c r="Q57" s="215"/>
      <c r="R57" s="215"/>
      <c r="S57" s="215"/>
      <c r="T57" s="215"/>
      <c r="U57" s="215"/>
      <c r="V57" s="215"/>
      <c r="W57" s="215"/>
      <c r="X57" s="215"/>
      <c r="Y57" s="215"/>
      <c r="Z57" s="215"/>
      <c r="AA57" s="215"/>
      <c r="AB57" s="215"/>
      <c r="AC57" s="215"/>
      <c r="AD57" s="215"/>
      <c r="AE57" s="215"/>
      <c r="AF57" s="215"/>
      <c r="AG57" s="215"/>
      <c r="AH57" s="215"/>
      <c r="AI57" s="215"/>
      <c r="AJ57" s="215"/>
      <c r="AK57" s="215"/>
      <c r="AL57" s="215"/>
      <c r="AM57" s="215"/>
      <c r="AN57" s="215"/>
      <c r="AO57" s="215"/>
      <c r="AP57" s="215"/>
      <c r="AQ57" s="215"/>
      <c r="AR57" s="98">
        <f t="shared" ref="AR57:AR58" si="5">SUM(E57,G57,I57,K57,M57,-N57,-P57,-R57,-T57,-V57,-X57,-Z57,-AB57,-AD57,-AF57,-AP57,-AH57,-AJ57,-AL57,-AN57)</f>
        <v>0</v>
      </c>
      <c r="AS57" s="216">
        <v>0</v>
      </c>
      <c r="AT57" s="3"/>
    </row>
    <row r="58" spans="1:46" x14ac:dyDescent="0.3">
      <c r="A58" s="71">
        <v>50</v>
      </c>
      <c r="B58" s="324" t="s">
        <v>163</v>
      </c>
      <c r="C58" s="103" t="s">
        <v>103</v>
      </c>
      <c r="D58" s="235" t="s">
        <v>162</v>
      </c>
      <c r="E58" s="195"/>
      <c r="F58" s="253"/>
      <c r="G58" s="254"/>
      <c r="H58" s="190"/>
      <c r="I58" s="254"/>
      <c r="J58" s="190"/>
      <c r="K58" s="254"/>
      <c r="L58" s="190"/>
      <c r="M58" s="191"/>
      <c r="N58" s="192"/>
      <c r="O58" s="193"/>
      <c r="P58" s="193"/>
      <c r="Q58" s="193"/>
      <c r="R58" s="193"/>
      <c r="S58" s="193"/>
      <c r="T58" s="193"/>
      <c r="U58" s="193"/>
      <c r="V58" s="193"/>
      <c r="W58" s="193"/>
      <c r="X58" s="193"/>
      <c r="Y58" s="193"/>
      <c r="Z58" s="193"/>
      <c r="AA58" s="193"/>
      <c r="AB58" s="193"/>
      <c r="AC58" s="193"/>
      <c r="AD58" s="193"/>
      <c r="AE58" s="193"/>
      <c r="AF58" s="193"/>
      <c r="AG58" s="193"/>
      <c r="AH58" s="193"/>
      <c r="AI58" s="193"/>
      <c r="AJ58" s="193"/>
      <c r="AK58" s="193"/>
      <c r="AL58" s="193"/>
      <c r="AM58" s="193"/>
      <c r="AN58" s="193"/>
      <c r="AO58" s="193"/>
      <c r="AP58" s="193"/>
      <c r="AQ58" s="193"/>
      <c r="AR58" s="196">
        <f t="shared" si="5"/>
        <v>0</v>
      </c>
      <c r="AS58" s="194">
        <v>4</v>
      </c>
      <c r="AT58" s="3"/>
    </row>
    <row r="59" spans="1:46" ht="20.25" customHeight="1" x14ac:dyDescent="0.3">
      <c r="A59" s="1">
        <v>51</v>
      </c>
      <c r="B59" s="320"/>
      <c r="C59" s="104"/>
      <c r="D59" s="104"/>
      <c r="E59" s="186"/>
      <c r="F59" s="255"/>
      <c r="G59" s="188"/>
      <c r="H59" s="189"/>
      <c r="I59" s="188"/>
      <c r="J59" s="189"/>
      <c r="K59" s="188"/>
      <c r="L59" s="190"/>
      <c r="M59" s="191"/>
      <c r="N59" s="214"/>
      <c r="O59" s="215"/>
      <c r="P59" s="215"/>
      <c r="Q59" s="215"/>
      <c r="R59" s="215"/>
      <c r="S59" s="215"/>
      <c r="T59" s="215"/>
      <c r="U59" s="215"/>
      <c r="V59" s="215"/>
      <c r="W59" s="215"/>
      <c r="X59" s="215"/>
      <c r="Y59" s="215"/>
      <c r="Z59" s="215"/>
      <c r="AA59" s="215"/>
      <c r="AB59" s="215"/>
      <c r="AC59" s="215"/>
      <c r="AD59" s="215"/>
      <c r="AE59" s="215"/>
      <c r="AF59" s="215"/>
      <c r="AG59" s="215"/>
      <c r="AH59" s="215"/>
      <c r="AI59" s="215"/>
      <c r="AJ59" s="215"/>
      <c r="AK59" s="215"/>
      <c r="AL59" s="215"/>
      <c r="AM59" s="215"/>
      <c r="AN59" s="215"/>
      <c r="AO59" s="215"/>
      <c r="AP59" s="215"/>
      <c r="AQ59" s="215"/>
      <c r="AR59" s="98"/>
      <c r="AS59" s="216"/>
    </row>
    <row r="60" spans="1:46" ht="20.25" customHeight="1" thickBot="1" x14ac:dyDescent="0.35">
      <c r="A60" s="1">
        <v>52</v>
      </c>
      <c r="B60" s="327"/>
      <c r="C60" s="105"/>
      <c r="D60" s="246"/>
      <c r="E60" s="199"/>
      <c r="F60" s="256"/>
      <c r="G60" s="257"/>
      <c r="H60" s="205"/>
      <c r="I60" s="257"/>
      <c r="J60" s="205"/>
      <c r="K60" s="257"/>
      <c r="L60" s="205"/>
      <c r="M60" s="206"/>
      <c r="N60" s="207"/>
      <c r="O60" s="208"/>
      <c r="P60" s="208"/>
      <c r="Q60" s="208"/>
      <c r="R60" s="208"/>
      <c r="S60" s="208"/>
      <c r="T60" s="208"/>
      <c r="U60" s="208"/>
      <c r="V60" s="208"/>
      <c r="W60" s="208"/>
      <c r="X60" s="208"/>
      <c r="Y60" s="208"/>
      <c r="Z60" s="208"/>
      <c r="AA60" s="208"/>
      <c r="AB60" s="208"/>
      <c r="AC60" s="208"/>
      <c r="AD60" s="208"/>
      <c r="AE60" s="208"/>
      <c r="AF60" s="208"/>
      <c r="AG60" s="208"/>
      <c r="AH60" s="208"/>
      <c r="AI60" s="208"/>
      <c r="AJ60" s="208"/>
      <c r="AK60" s="208"/>
      <c r="AL60" s="208"/>
      <c r="AM60" s="208"/>
      <c r="AN60" s="208"/>
      <c r="AO60" s="208"/>
      <c r="AP60" s="208"/>
      <c r="AQ60" s="208"/>
      <c r="AR60" s="99"/>
      <c r="AS60" s="210"/>
    </row>
    <row r="61" spans="1:46" ht="20.25" customHeight="1" thickBot="1" x14ac:dyDescent="0.35">
      <c r="A61" s="14"/>
      <c r="B61" s="332" t="s">
        <v>67</v>
      </c>
      <c r="C61" s="332"/>
      <c r="D61" s="332"/>
      <c r="E61" s="332"/>
      <c r="F61" s="332"/>
      <c r="G61" s="332"/>
      <c r="H61" s="332"/>
      <c r="I61" s="332"/>
      <c r="J61" s="332"/>
      <c r="K61" s="332"/>
      <c r="L61" s="332"/>
      <c r="M61" s="332"/>
      <c r="N61" s="332"/>
      <c r="O61" s="332"/>
      <c r="P61" s="332"/>
      <c r="Q61" s="332"/>
      <c r="R61" s="332"/>
      <c r="S61" s="332"/>
      <c r="T61" s="332"/>
      <c r="U61" s="332"/>
      <c r="V61" s="332"/>
      <c r="W61" s="332"/>
      <c r="X61" s="332"/>
      <c r="Y61" s="332"/>
      <c r="Z61" s="332"/>
      <c r="AA61" s="332"/>
      <c r="AB61" s="332"/>
      <c r="AC61" s="332"/>
      <c r="AD61" s="332"/>
      <c r="AE61" s="332"/>
      <c r="AF61" s="332"/>
      <c r="AG61" s="332"/>
      <c r="AH61" s="332"/>
      <c r="AI61" s="332"/>
      <c r="AJ61" s="332"/>
      <c r="AK61" s="332"/>
      <c r="AL61" s="332"/>
      <c r="AM61" s="332"/>
      <c r="AN61" s="332"/>
      <c r="AO61" s="332"/>
      <c r="AP61" s="332"/>
      <c r="AQ61" s="332"/>
      <c r="AR61" s="332"/>
      <c r="AS61" s="258"/>
      <c r="AT61" s="3"/>
    </row>
    <row r="62" spans="1:46" ht="20.25" customHeight="1" x14ac:dyDescent="0.3">
      <c r="A62" s="1">
        <v>53</v>
      </c>
      <c r="B62" s="323" t="s">
        <v>23</v>
      </c>
      <c r="C62" s="96">
        <v>1500</v>
      </c>
      <c r="D62" s="248"/>
      <c r="E62" s="177"/>
      <c r="F62" s="178"/>
      <c r="G62" s="179"/>
      <c r="H62" s="180"/>
      <c r="I62" s="179"/>
      <c r="J62" s="180"/>
      <c r="K62" s="179"/>
      <c r="L62" s="181"/>
      <c r="M62" s="182"/>
      <c r="N62" s="259"/>
      <c r="O62" s="260"/>
      <c r="P62" s="260"/>
      <c r="Q62" s="260"/>
      <c r="R62" s="260"/>
      <c r="S62" s="260"/>
      <c r="T62" s="260"/>
      <c r="U62" s="260"/>
      <c r="V62" s="260"/>
      <c r="W62" s="260"/>
      <c r="X62" s="260"/>
      <c r="Y62" s="248"/>
      <c r="Z62" s="260"/>
      <c r="AA62" s="260"/>
      <c r="AB62" s="260"/>
      <c r="AC62" s="260"/>
      <c r="AD62" s="260"/>
      <c r="AE62" s="260"/>
      <c r="AF62" s="260"/>
      <c r="AG62" s="260"/>
      <c r="AH62" s="260"/>
      <c r="AI62" s="260"/>
      <c r="AJ62" s="260"/>
      <c r="AK62" s="260"/>
      <c r="AL62" s="260"/>
      <c r="AM62" s="260"/>
      <c r="AN62" s="260"/>
      <c r="AO62" s="260"/>
      <c r="AP62" s="260"/>
      <c r="AQ62" s="260"/>
      <c r="AR62" s="260">
        <f>SUM(E62,G62,I62,K62,M62,-N62,-P62,-R62,-T62,-V62,-X62,-Z62,-AB62,-AD62,-AF62,-AP62,-AH62,-AJ62,-AL62,-AN62)</f>
        <v>0</v>
      </c>
      <c r="AS62" s="185">
        <v>1</v>
      </c>
      <c r="AT62" s="2" t="s">
        <v>198</v>
      </c>
    </row>
    <row r="63" spans="1:46" ht="20.25" customHeight="1" x14ac:dyDescent="0.3">
      <c r="A63" s="71">
        <v>54</v>
      </c>
      <c r="B63" s="320" t="s">
        <v>43</v>
      </c>
      <c r="C63" s="97">
        <v>1500</v>
      </c>
      <c r="D63" s="235"/>
      <c r="E63" s="195"/>
      <c r="F63" s="187"/>
      <c r="G63" s="188"/>
      <c r="H63" s="189"/>
      <c r="I63" s="188"/>
      <c r="J63" s="189"/>
      <c r="K63" s="188"/>
      <c r="L63" s="190"/>
      <c r="M63" s="191"/>
      <c r="N63" s="261"/>
      <c r="O63" s="262"/>
      <c r="P63" s="262"/>
      <c r="Q63" s="262"/>
      <c r="R63" s="262"/>
      <c r="S63" s="262"/>
      <c r="T63" s="262"/>
      <c r="U63" s="262"/>
      <c r="V63" s="262"/>
      <c r="W63" s="262"/>
      <c r="X63" s="262"/>
      <c r="Y63" s="235"/>
      <c r="Z63" s="262"/>
      <c r="AA63" s="262"/>
      <c r="AB63" s="262"/>
      <c r="AC63" s="262"/>
      <c r="AD63" s="262"/>
      <c r="AE63" s="262"/>
      <c r="AF63" s="262"/>
      <c r="AG63" s="262"/>
      <c r="AH63" s="262"/>
      <c r="AI63" s="262"/>
      <c r="AJ63" s="262"/>
      <c r="AK63" s="262"/>
      <c r="AL63" s="262"/>
      <c r="AM63" s="262"/>
      <c r="AN63" s="262"/>
      <c r="AO63" s="262"/>
      <c r="AP63" s="262"/>
      <c r="AQ63" s="262"/>
      <c r="AR63" s="263">
        <f t="shared" ref="AR63:AR64" si="6">SUM(E63,G63,I63,K63,M63,-N63,-P63,-R63,-T63,-V63,-X63,-Z63,-AB63,-AD63,-AF63,-AP63,-AH63,-AJ63,-AL63,-AN63)</f>
        <v>0</v>
      </c>
      <c r="AS63" s="194">
        <v>0</v>
      </c>
      <c r="AT63" s="3"/>
    </row>
    <row r="64" spans="1:46" ht="20.25" customHeight="1" x14ac:dyDescent="0.3">
      <c r="A64" s="71">
        <v>55</v>
      </c>
      <c r="B64" s="320" t="s">
        <v>140</v>
      </c>
      <c r="C64" s="97">
        <v>850</v>
      </c>
      <c r="D64" s="235"/>
      <c r="E64" s="195"/>
      <c r="F64" s="187"/>
      <c r="G64" s="188"/>
      <c r="H64" s="189"/>
      <c r="I64" s="188"/>
      <c r="J64" s="189"/>
      <c r="K64" s="188"/>
      <c r="L64" s="190"/>
      <c r="M64" s="191"/>
      <c r="N64" s="261"/>
      <c r="O64" s="262"/>
      <c r="P64" s="262"/>
      <c r="Q64" s="262"/>
      <c r="R64" s="262"/>
      <c r="S64" s="262"/>
      <c r="T64" s="262"/>
      <c r="U64" s="262"/>
      <c r="V64" s="262"/>
      <c r="W64" s="262"/>
      <c r="X64" s="262"/>
      <c r="Y64" s="235"/>
      <c r="Z64" s="262"/>
      <c r="AA64" s="262"/>
      <c r="AB64" s="262"/>
      <c r="AC64" s="262"/>
      <c r="AD64" s="262"/>
      <c r="AE64" s="262"/>
      <c r="AF64" s="262"/>
      <c r="AG64" s="262"/>
      <c r="AH64" s="262"/>
      <c r="AI64" s="262"/>
      <c r="AJ64" s="262"/>
      <c r="AK64" s="262"/>
      <c r="AL64" s="262"/>
      <c r="AM64" s="262"/>
      <c r="AN64" s="262"/>
      <c r="AO64" s="262"/>
      <c r="AP64" s="262"/>
      <c r="AQ64" s="262"/>
      <c r="AR64" s="263">
        <f t="shared" si="6"/>
        <v>0</v>
      </c>
      <c r="AS64" s="194">
        <v>1</v>
      </c>
      <c r="AT64" s="3"/>
    </row>
    <row r="65" spans="1:50" ht="20.25" customHeight="1" x14ac:dyDescent="0.3">
      <c r="A65" s="1">
        <v>56</v>
      </c>
      <c r="B65" s="320"/>
      <c r="C65" s="104"/>
      <c r="D65" s="235"/>
      <c r="E65" s="186"/>
      <c r="F65" s="187"/>
      <c r="G65" s="188"/>
      <c r="H65" s="189"/>
      <c r="I65" s="188"/>
      <c r="J65" s="189"/>
      <c r="K65" s="188"/>
      <c r="L65" s="190"/>
      <c r="M65" s="191"/>
      <c r="N65" s="261"/>
      <c r="O65" s="262"/>
      <c r="P65" s="262"/>
      <c r="Q65" s="262"/>
      <c r="R65" s="262"/>
      <c r="S65" s="262"/>
      <c r="T65" s="262"/>
      <c r="U65" s="262"/>
      <c r="V65" s="262"/>
      <c r="W65" s="262"/>
      <c r="X65" s="262"/>
      <c r="Y65" s="235"/>
      <c r="Z65" s="262"/>
      <c r="AA65" s="262"/>
      <c r="AB65" s="262"/>
      <c r="AC65" s="262"/>
      <c r="AD65" s="262"/>
      <c r="AE65" s="262"/>
      <c r="AF65" s="262"/>
      <c r="AG65" s="262"/>
      <c r="AH65" s="262"/>
      <c r="AI65" s="262"/>
      <c r="AJ65" s="262"/>
      <c r="AK65" s="262"/>
      <c r="AL65" s="262"/>
      <c r="AM65" s="262"/>
      <c r="AN65" s="262"/>
      <c r="AO65" s="262"/>
      <c r="AP65" s="262"/>
      <c r="AQ65" s="262"/>
      <c r="AR65" s="262"/>
      <c r="AS65" s="194"/>
      <c r="AT65" s="3"/>
    </row>
    <row r="66" spans="1:50" ht="20.25" customHeight="1" thickBot="1" x14ac:dyDescent="0.35">
      <c r="A66" s="1">
        <v>57</v>
      </c>
      <c r="B66" s="325"/>
      <c r="C66" s="101"/>
      <c r="D66" s="246"/>
      <c r="E66" s="199"/>
      <c r="F66" s="226"/>
      <c r="G66" s="204"/>
      <c r="H66" s="203"/>
      <c r="I66" s="204"/>
      <c r="J66" s="203"/>
      <c r="K66" s="204"/>
      <c r="L66" s="205"/>
      <c r="M66" s="206"/>
      <c r="N66" s="264"/>
      <c r="O66" s="265"/>
      <c r="P66" s="265"/>
      <c r="Q66" s="265"/>
      <c r="R66" s="265"/>
      <c r="S66" s="265"/>
      <c r="T66" s="265"/>
      <c r="U66" s="265"/>
      <c r="V66" s="265"/>
      <c r="W66" s="265"/>
      <c r="X66" s="265"/>
      <c r="Y66" s="246"/>
      <c r="Z66" s="265"/>
      <c r="AA66" s="265"/>
      <c r="AB66" s="265"/>
      <c r="AC66" s="265"/>
      <c r="AD66" s="265"/>
      <c r="AE66" s="265"/>
      <c r="AF66" s="265"/>
      <c r="AG66" s="265"/>
      <c r="AH66" s="265"/>
      <c r="AI66" s="265"/>
      <c r="AJ66" s="265"/>
      <c r="AK66" s="265"/>
      <c r="AL66" s="265"/>
      <c r="AM66" s="265"/>
      <c r="AN66" s="265"/>
      <c r="AO66" s="265"/>
      <c r="AP66" s="265"/>
      <c r="AQ66" s="265"/>
      <c r="AR66" s="265"/>
      <c r="AS66" s="210"/>
      <c r="AT66" s="3"/>
    </row>
    <row r="67" spans="1:50" ht="20.25" customHeight="1" thickBot="1" x14ac:dyDescent="0.35">
      <c r="A67" s="32"/>
      <c r="B67" s="332" t="s">
        <v>83</v>
      </c>
      <c r="C67" s="332"/>
      <c r="D67" s="332"/>
      <c r="E67" s="332"/>
      <c r="F67" s="332"/>
      <c r="G67" s="332"/>
      <c r="H67" s="332"/>
      <c r="I67" s="332"/>
      <c r="J67" s="332"/>
      <c r="K67" s="332"/>
      <c r="L67" s="332"/>
      <c r="M67" s="332"/>
      <c r="N67" s="332"/>
      <c r="O67" s="332"/>
      <c r="P67" s="332"/>
      <c r="Q67" s="332"/>
      <c r="R67" s="332"/>
      <c r="S67" s="332"/>
      <c r="T67" s="332"/>
      <c r="U67" s="332"/>
      <c r="V67" s="332"/>
      <c r="W67" s="332"/>
      <c r="X67" s="332"/>
      <c r="Y67" s="332"/>
      <c r="Z67" s="332"/>
      <c r="AA67" s="332"/>
      <c r="AB67" s="332"/>
      <c r="AC67" s="332"/>
      <c r="AD67" s="332"/>
      <c r="AE67" s="332"/>
      <c r="AF67" s="332"/>
      <c r="AG67" s="332"/>
      <c r="AH67" s="332"/>
      <c r="AI67" s="332"/>
      <c r="AJ67" s="332"/>
      <c r="AK67" s="332"/>
      <c r="AL67" s="332"/>
      <c r="AM67" s="332"/>
      <c r="AN67" s="332"/>
      <c r="AO67" s="332"/>
      <c r="AP67" s="332"/>
      <c r="AQ67" s="332"/>
      <c r="AR67" s="333"/>
      <c r="AS67" s="266"/>
      <c r="AT67" s="3"/>
    </row>
    <row r="68" spans="1:50" ht="20.25" customHeight="1" x14ac:dyDescent="0.3">
      <c r="A68" s="71">
        <v>58</v>
      </c>
      <c r="B68" s="323" t="s">
        <v>84</v>
      </c>
      <c r="C68" s="106" t="s">
        <v>103</v>
      </c>
      <c r="D68" s="248" t="s">
        <v>85</v>
      </c>
      <c r="E68" s="230"/>
      <c r="F68" s="178"/>
      <c r="G68" s="179"/>
      <c r="H68" s="180"/>
      <c r="I68" s="179"/>
      <c r="J68" s="180"/>
      <c r="K68" s="179"/>
      <c r="L68" s="181"/>
      <c r="M68" s="182"/>
      <c r="N68" s="183"/>
      <c r="O68" s="184"/>
      <c r="P68" s="184"/>
      <c r="Q68" s="184"/>
      <c r="R68" s="184"/>
      <c r="S68" s="184"/>
      <c r="T68" s="184"/>
      <c r="U68" s="184"/>
      <c r="V68" s="184"/>
      <c r="W68" s="184"/>
      <c r="X68" s="184"/>
      <c r="Y68" s="184"/>
      <c r="Z68" s="184"/>
      <c r="AA68" s="184"/>
      <c r="AB68" s="184"/>
      <c r="AC68" s="184"/>
      <c r="AD68" s="184"/>
      <c r="AE68" s="184"/>
      <c r="AF68" s="184"/>
      <c r="AG68" s="184"/>
      <c r="AH68" s="184"/>
      <c r="AI68" s="184"/>
      <c r="AJ68" s="184"/>
      <c r="AK68" s="184"/>
      <c r="AL68" s="184"/>
      <c r="AM68" s="184"/>
      <c r="AN68" s="184"/>
      <c r="AO68" s="184"/>
      <c r="AP68" s="184"/>
      <c r="AQ68" s="184"/>
      <c r="AR68" s="267">
        <f>SUM(E68,G68,I68,K68,M68,-N68,-P68,-R68,-T68,-V68,-X68,-Z68,-AB68,-AD68,-AF68,-AP68,-AH68,-AJ68,-AL68,-AN68)</f>
        <v>0</v>
      </c>
      <c r="AS68" s="185">
        <v>2</v>
      </c>
      <c r="AT68" s="3"/>
    </row>
    <row r="69" spans="1:50" ht="20.25" customHeight="1" x14ac:dyDescent="0.3">
      <c r="A69" s="71">
        <v>59</v>
      </c>
      <c r="B69" s="320" t="s">
        <v>86</v>
      </c>
      <c r="C69" s="98" t="s">
        <v>103</v>
      </c>
      <c r="D69" s="235" t="s">
        <v>121</v>
      </c>
      <c r="E69" s="195"/>
      <c r="F69" s="187"/>
      <c r="G69" s="188"/>
      <c r="H69" s="189"/>
      <c r="I69" s="188"/>
      <c r="J69" s="189"/>
      <c r="K69" s="188"/>
      <c r="L69" s="190"/>
      <c r="M69" s="191"/>
      <c r="N69" s="236"/>
      <c r="O69" s="237"/>
      <c r="P69" s="237"/>
      <c r="Q69" s="237"/>
      <c r="R69" s="193"/>
      <c r="S69" s="193"/>
      <c r="T69" s="193"/>
      <c r="U69" s="193"/>
      <c r="V69" s="193"/>
      <c r="W69" s="193"/>
      <c r="X69" s="193"/>
      <c r="Y69" s="193"/>
      <c r="Z69" s="193"/>
      <c r="AA69" s="193"/>
      <c r="AB69" s="193"/>
      <c r="AC69" s="193"/>
      <c r="AD69" s="193"/>
      <c r="AE69" s="193"/>
      <c r="AF69" s="193"/>
      <c r="AG69" s="193"/>
      <c r="AH69" s="193"/>
      <c r="AI69" s="193"/>
      <c r="AJ69" s="193"/>
      <c r="AK69" s="193"/>
      <c r="AL69" s="193"/>
      <c r="AM69" s="193"/>
      <c r="AN69" s="193"/>
      <c r="AO69" s="193"/>
      <c r="AP69" s="193"/>
      <c r="AQ69" s="193"/>
      <c r="AR69" s="263">
        <f t="shared" ref="AR69:AR76" si="7">SUM(E69,G69,I69,K69,M69,-N69,-P69,-R69,-T69,-V69,-X69,-Z69,-AB69,-AD69,-AF69,-AP69,-AH69,-AJ69,-AL69,-AN69)</f>
        <v>0</v>
      </c>
      <c r="AS69" s="194">
        <v>9</v>
      </c>
      <c r="AT69" s="3"/>
    </row>
    <row r="70" spans="1:50" ht="20.25" customHeight="1" x14ac:dyDescent="0.3">
      <c r="A70" s="71">
        <v>60</v>
      </c>
      <c r="B70" s="320" t="s">
        <v>87</v>
      </c>
      <c r="C70" s="98" t="s">
        <v>107</v>
      </c>
      <c r="D70" s="104"/>
      <c r="E70" s="195"/>
      <c r="F70" s="187"/>
      <c r="G70" s="188"/>
      <c r="H70" s="189"/>
      <c r="I70" s="188"/>
      <c r="J70" s="189"/>
      <c r="K70" s="188"/>
      <c r="L70" s="190"/>
      <c r="M70" s="191"/>
      <c r="N70" s="192"/>
      <c r="O70" s="193"/>
      <c r="P70" s="193"/>
      <c r="Q70" s="193"/>
      <c r="R70" s="193"/>
      <c r="S70" s="193"/>
      <c r="T70" s="193"/>
      <c r="U70" s="193"/>
      <c r="V70" s="193"/>
      <c r="W70" s="193"/>
      <c r="X70" s="193"/>
      <c r="Y70" s="193"/>
      <c r="Z70" s="193"/>
      <c r="AA70" s="193"/>
      <c r="AB70" s="193"/>
      <c r="AC70" s="193"/>
      <c r="AD70" s="193"/>
      <c r="AE70" s="193"/>
      <c r="AF70" s="193"/>
      <c r="AG70" s="193"/>
      <c r="AH70" s="193"/>
      <c r="AI70" s="193"/>
      <c r="AJ70" s="193"/>
      <c r="AK70" s="193"/>
      <c r="AL70" s="193"/>
      <c r="AM70" s="193"/>
      <c r="AN70" s="193"/>
      <c r="AO70" s="193"/>
      <c r="AP70" s="193"/>
      <c r="AQ70" s="193"/>
      <c r="AR70" s="263">
        <f t="shared" si="7"/>
        <v>0</v>
      </c>
      <c r="AS70" s="194">
        <v>2</v>
      </c>
      <c r="AT70" s="3"/>
    </row>
    <row r="71" spans="1:50" ht="20.25" customHeight="1" x14ac:dyDescent="0.3">
      <c r="A71" s="71">
        <v>61</v>
      </c>
      <c r="B71" s="320" t="s">
        <v>91</v>
      </c>
      <c r="C71" s="98" t="s">
        <v>154</v>
      </c>
      <c r="D71" s="104" t="s">
        <v>45</v>
      </c>
      <c r="E71" s="195"/>
      <c r="F71" s="268"/>
      <c r="G71" s="234"/>
      <c r="H71" s="189"/>
      <c r="I71" s="234"/>
      <c r="J71" s="189"/>
      <c r="K71" s="188"/>
      <c r="L71" s="190"/>
      <c r="M71" s="191"/>
      <c r="N71" s="236"/>
      <c r="O71" s="237"/>
      <c r="P71" s="237"/>
      <c r="Q71" s="237"/>
      <c r="R71" s="237"/>
      <c r="S71" s="237"/>
      <c r="T71" s="237"/>
      <c r="U71" s="237"/>
      <c r="V71" s="193"/>
      <c r="W71" s="193"/>
      <c r="X71" s="193"/>
      <c r="Y71" s="193"/>
      <c r="Z71" s="193"/>
      <c r="AA71" s="193"/>
      <c r="AB71" s="193"/>
      <c r="AC71" s="193"/>
      <c r="AD71" s="193"/>
      <c r="AE71" s="193"/>
      <c r="AF71" s="193"/>
      <c r="AG71" s="193"/>
      <c r="AH71" s="193"/>
      <c r="AI71" s="193"/>
      <c r="AJ71" s="193"/>
      <c r="AK71" s="193"/>
      <c r="AL71" s="193"/>
      <c r="AM71" s="193"/>
      <c r="AN71" s="193"/>
      <c r="AO71" s="193"/>
      <c r="AP71" s="193"/>
      <c r="AQ71" s="193"/>
      <c r="AR71" s="262">
        <f t="shared" si="7"/>
        <v>0</v>
      </c>
      <c r="AS71" s="194">
        <v>10</v>
      </c>
      <c r="AT71" s="3"/>
    </row>
    <row r="72" spans="1:50" ht="20.25" customHeight="1" x14ac:dyDescent="0.3">
      <c r="A72" s="1">
        <v>62</v>
      </c>
      <c r="B72" s="320" t="s">
        <v>94</v>
      </c>
      <c r="C72" s="98" t="s">
        <v>164</v>
      </c>
      <c r="D72" s="104" t="s">
        <v>112</v>
      </c>
      <c r="E72" s="186"/>
      <c r="F72" s="268"/>
      <c r="G72" s="188"/>
      <c r="H72" s="269"/>
      <c r="I72" s="188"/>
      <c r="J72" s="189"/>
      <c r="K72" s="188"/>
      <c r="L72" s="190"/>
      <c r="M72" s="191"/>
      <c r="N72" s="192"/>
      <c r="O72" s="193"/>
      <c r="P72" s="193"/>
      <c r="Q72" s="193"/>
      <c r="R72" s="193"/>
      <c r="S72" s="193"/>
      <c r="T72" s="193"/>
      <c r="U72" s="193"/>
      <c r="V72" s="193"/>
      <c r="W72" s="193"/>
      <c r="X72" s="193"/>
      <c r="Y72" s="193"/>
      <c r="Z72" s="193"/>
      <c r="AA72" s="193"/>
      <c r="AB72" s="193"/>
      <c r="AC72" s="193"/>
      <c r="AD72" s="193"/>
      <c r="AE72" s="193"/>
      <c r="AF72" s="193"/>
      <c r="AG72" s="193"/>
      <c r="AH72" s="193"/>
      <c r="AI72" s="193"/>
      <c r="AJ72" s="193"/>
      <c r="AK72" s="193"/>
      <c r="AL72" s="193"/>
      <c r="AM72" s="193"/>
      <c r="AN72" s="193"/>
      <c r="AO72" s="193"/>
      <c r="AP72" s="193"/>
      <c r="AQ72" s="193"/>
      <c r="AR72" s="262">
        <f t="shared" si="7"/>
        <v>0</v>
      </c>
      <c r="AS72" s="194">
        <v>0</v>
      </c>
      <c r="AT72" s="3"/>
    </row>
    <row r="73" spans="1:50" ht="20.25" customHeight="1" x14ac:dyDescent="0.3">
      <c r="A73" s="71">
        <v>63</v>
      </c>
      <c r="B73" s="324" t="s">
        <v>169</v>
      </c>
      <c r="C73" s="98" t="s">
        <v>170</v>
      </c>
      <c r="D73" s="104" t="s">
        <v>45</v>
      </c>
      <c r="E73" s="195"/>
      <c r="F73" s="270"/>
      <c r="G73" s="234"/>
      <c r="H73" s="269"/>
      <c r="I73" s="188"/>
      <c r="J73" s="189"/>
      <c r="K73" s="188"/>
      <c r="L73" s="190"/>
      <c r="M73" s="191"/>
      <c r="N73" s="236"/>
      <c r="O73" s="237"/>
      <c r="P73" s="237"/>
      <c r="Q73" s="237"/>
      <c r="R73" s="193"/>
      <c r="S73" s="193"/>
      <c r="T73" s="193"/>
      <c r="U73" s="193"/>
      <c r="V73" s="193"/>
      <c r="W73" s="193"/>
      <c r="X73" s="193"/>
      <c r="Y73" s="193"/>
      <c r="Z73" s="193"/>
      <c r="AA73" s="193"/>
      <c r="AB73" s="193"/>
      <c r="AC73" s="193"/>
      <c r="AD73" s="193"/>
      <c r="AE73" s="193"/>
      <c r="AF73" s="193"/>
      <c r="AG73" s="193"/>
      <c r="AH73" s="193"/>
      <c r="AI73" s="193"/>
      <c r="AJ73" s="193"/>
      <c r="AK73" s="193"/>
      <c r="AL73" s="193"/>
      <c r="AM73" s="193"/>
      <c r="AN73" s="193"/>
      <c r="AO73" s="193"/>
      <c r="AP73" s="193"/>
      <c r="AQ73" s="193"/>
      <c r="AR73" s="263">
        <f t="shared" si="7"/>
        <v>0</v>
      </c>
      <c r="AS73" s="194">
        <v>23</v>
      </c>
      <c r="AT73" s="3"/>
    </row>
    <row r="74" spans="1:50" ht="20.25" customHeight="1" x14ac:dyDescent="0.3">
      <c r="A74" s="1">
        <v>64</v>
      </c>
      <c r="B74" s="320" t="s">
        <v>184</v>
      </c>
      <c r="C74" s="98" t="s">
        <v>103</v>
      </c>
      <c r="D74" s="104" t="s">
        <v>45</v>
      </c>
      <c r="E74" s="186"/>
      <c r="F74" s="187"/>
      <c r="G74" s="188"/>
      <c r="H74" s="271"/>
      <c r="I74" s="188"/>
      <c r="J74" s="189"/>
      <c r="K74" s="188"/>
      <c r="L74" s="190"/>
      <c r="M74" s="191"/>
      <c r="N74" s="192"/>
      <c r="O74" s="193"/>
      <c r="P74" s="193"/>
      <c r="Q74" s="193"/>
      <c r="R74" s="193"/>
      <c r="S74" s="193"/>
      <c r="T74" s="193"/>
      <c r="U74" s="193"/>
      <c r="V74" s="193"/>
      <c r="W74" s="193"/>
      <c r="X74" s="193"/>
      <c r="Y74" s="193"/>
      <c r="Z74" s="193"/>
      <c r="AA74" s="193"/>
      <c r="AB74" s="193"/>
      <c r="AC74" s="193"/>
      <c r="AD74" s="193"/>
      <c r="AE74" s="193"/>
      <c r="AF74" s="193"/>
      <c r="AG74" s="193"/>
      <c r="AH74" s="193"/>
      <c r="AI74" s="193"/>
      <c r="AJ74" s="193"/>
      <c r="AK74" s="193"/>
      <c r="AL74" s="193"/>
      <c r="AM74" s="193"/>
      <c r="AN74" s="193"/>
      <c r="AO74" s="193"/>
      <c r="AP74" s="193"/>
      <c r="AQ74" s="193"/>
      <c r="AR74" s="262">
        <f>SUM(E74,G74,I74,K74,M74,-N74,-P74,-R74,-T74,-V74,-X74,-Z74,-AB74,-AD74,-AF74,-AP74,-AH74,-AJ74,-AL74,-AN74)</f>
        <v>0</v>
      </c>
      <c r="AS74" s="194">
        <v>8</v>
      </c>
      <c r="AT74" s="2" t="s">
        <v>198</v>
      </c>
    </row>
    <row r="75" spans="1:50" ht="20.25" customHeight="1" x14ac:dyDescent="0.3">
      <c r="A75" s="1">
        <v>65</v>
      </c>
      <c r="B75" s="320" t="s">
        <v>49</v>
      </c>
      <c r="C75" s="97">
        <v>650</v>
      </c>
      <c r="D75" s="104" t="s">
        <v>51</v>
      </c>
      <c r="E75" s="186"/>
      <c r="F75" s="272"/>
      <c r="G75" s="188"/>
      <c r="H75" s="189"/>
      <c r="I75" s="188"/>
      <c r="J75" s="189"/>
      <c r="K75" s="188"/>
      <c r="L75" s="190"/>
      <c r="M75" s="191"/>
      <c r="N75" s="192"/>
      <c r="O75" s="193"/>
      <c r="P75" s="193"/>
      <c r="Q75" s="193"/>
      <c r="R75" s="193"/>
      <c r="S75" s="193"/>
      <c r="T75" s="193"/>
      <c r="U75" s="193"/>
      <c r="V75" s="193"/>
      <c r="W75" s="193"/>
      <c r="X75" s="193"/>
      <c r="Y75" s="193"/>
      <c r="Z75" s="193"/>
      <c r="AA75" s="193"/>
      <c r="AB75" s="193"/>
      <c r="AC75" s="193"/>
      <c r="AD75" s="193"/>
      <c r="AE75" s="193"/>
      <c r="AF75" s="193"/>
      <c r="AG75" s="193"/>
      <c r="AH75" s="193"/>
      <c r="AI75" s="193"/>
      <c r="AJ75" s="193"/>
      <c r="AK75" s="193"/>
      <c r="AL75" s="193"/>
      <c r="AM75" s="193"/>
      <c r="AN75" s="193"/>
      <c r="AO75" s="193"/>
      <c r="AP75" s="193"/>
      <c r="AQ75" s="193"/>
      <c r="AR75" s="262">
        <f t="shared" si="7"/>
        <v>0</v>
      </c>
      <c r="AS75" s="194">
        <v>1</v>
      </c>
      <c r="AT75" s="3"/>
    </row>
    <row r="76" spans="1:50" ht="20.25" customHeight="1" x14ac:dyDescent="0.3">
      <c r="A76" s="1">
        <v>66</v>
      </c>
      <c r="B76" s="320" t="s">
        <v>111</v>
      </c>
      <c r="C76" s="97">
        <v>1200</v>
      </c>
      <c r="D76" s="104" t="s">
        <v>112</v>
      </c>
      <c r="E76" s="195"/>
      <c r="F76" s="238"/>
      <c r="G76" s="234"/>
      <c r="H76" s="189"/>
      <c r="I76" s="188"/>
      <c r="J76" s="189"/>
      <c r="K76" s="188"/>
      <c r="L76" s="190"/>
      <c r="M76" s="191"/>
      <c r="N76" s="192"/>
      <c r="O76" s="193"/>
      <c r="P76" s="193"/>
      <c r="Q76" s="193"/>
      <c r="R76" s="193"/>
      <c r="S76" s="193"/>
      <c r="T76" s="193"/>
      <c r="U76" s="193"/>
      <c r="V76" s="193"/>
      <c r="W76" s="193"/>
      <c r="X76" s="193"/>
      <c r="Y76" s="193"/>
      <c r="Z76" s="193"/>
      <c r="AA76" s="193"/>
      <c r="AB76" s="193"/>
      <c r="AC76" s="193"/>
      <c r="AD76" s="193"/>
      <c r="AE76" s="193"/>
      <c r="AF76" s="193"/>
      <c r="AG76" s="193"/>
      <c r="AH76" s="193"/>
      <c r="AI76" s="193"/>
      <c r="AJ76" s="193"/>
      <c r="AK76" s="193"/>
      <c r="AL76" s="193"/>
      <c r="AM76" s="193"/>
      <c r="AN76" s="193"/>
      <c r="AO76" s="193"/>
      <c r="AP76" s="193"/>
      <c r="AQ76" s="193"/>
      <c r="AR76" s="263">
        <f t="shared" si="7"/>
        <v>0</v>
      </c>
      <c r="AS76" s="194">
        <v>6</v>
      </c>
      <c r="AT76" s="3"/>
    </row>
    <row r="77" spans="1:50" ht="20.25" customHeight="1" thickBot="1" x14ac:dyDescent="0.35">
      <c r="A77" s="1">
        <v>67</v>
      </c>
      <c r="B77" s="325"/>
      <c r="C77" s="101"/>
      <c r="D77" s="246"/>
      <c r="E77" s="199"/>
      <c r="F77" s="226"/>
      <c r="G77" s="204"/>
      <c r="H77" s="203"/>
      <c r="I77" s="204"/>
      <c r="J77" s="203"/>
      <c r="K77" s="204"/>
      <c r="L77" s="205"/>
      <c r="M77" s="206"/>
      <c r="N77" s="207"/>
      <c r="O77" s="208"/>
      <c r="P77" s="208"/>
      <c r="Q77" s="208"/>
      <c r="R77" s="208"/>
      <c r="S77" s="208"/>
      <c r="T77" s="208"/>
      <c r="U77" s="208"/>
      <c r="V77" s="208"/>
      <c r="W77" s="208"/>
      <c r="X77" s="208"/>
      <c r="Y77" s="208"/>
      <c r="Z77" s="208"/>
      <c r="AA77" s="208"/>
      <c r="AB77" s="208"/>
      <c r="AC77" s="208"/>
      <c r="AD77" s="208"/>
      <c r="AE77" s="208"/>
      <c r="AF77" s="208"/>
      <c r="AG77" s="208"/>
      <c r="AH77" s="208"/>
      <c r="AI77" s="208"/>
      <c r="AJ77" s="208"/>
      <c r="AK77" s="208"/>
      <c r="AL77" s="208"/>
      <c r="AM77" s="208"/>
      <c r="AN77" s="208"/>
      <c r="AO77" s="208"/>
      <c r="AP77" s="208"/>
      <c r="AQ77" s="208"/>
      <c r="AR77" s="265"/>
      <c r="AS77" s="210"/>
      <c r="AT77" s="3"/>
    </row>
    <row r="78" spans="1:50" ht="20.25" customHeight="1" thickBot="1" x14ac:dyDescent="0.35">
      <c r="A78" s="72"/>
      <c r="B78" s="330" t="s">
        <v>130</v>
      </c>
      <c r="C78" s="330"/>
      <c r="D78" s="330"/>
      <c r="E78" s="330"/>
      <c r="F78" s="330"/>
      <c r="G78" s="330"/>
      <c r="H78" s="330"/>
      <c r="I78" s="330"/>
      <c r="J78" s="330"/>
      <c r="K78" s="330"/>
      <c r="L78" s="330"/>
      <c r="M78" s="330"/>
      <c r="N78" s="330"/>
      <c r="O78" s="330"/>
      <c r="P78" s="330"/>
      <c r="Q78" s="330"/>
      <c r="R78" s="330"/>
      <c r="S78" s="330"/>
      <c r="T78" s="330"/>
      <c r="U78" s="330"/>
      <c r="V78" s="330"/>
      <c r="W78" s="330"/>
      <c r="X78" s="330"/>
      <c r="Y78" s="330"/>
      <c r="Z78" s="330"/>
      <c r="AA78" s="330"/>
      <c r="AB78" s="330"/>
      <c r="AC78" s="330"/>
      <c r="AD78" s="330"/>
      <c r="AE78" s="330"/>
      <c r="AF78" s="330"/>
      <c r="AG78" s="330"/>
      <c r="AH78" s="330"/>
      <c r="AI78" s="330"/>
      <c r="AJ78" s="330"/>
      <c r="AK78" s="330"/>
      <c r="AL78" s="330"/>
      <c r="AM78" s="330"/>
      <c r="AN78" s="330"/>
      <c r="AO78" s="330"/>
      <c r="AP78" s="330"/>
      <c r="AQ78" s="330"/>
      <c r="AR78" s="336"/>
      <c r="AS78" s="85"/>
      <c r="AT78" s="3"/>
      <c r="AU78" s="33"/>
      <c r="AV78" s="33"/>
      <c r="AW78" s="33"/>
      <c r="AX78" s="33"/>
    </row>
    <row r="79" spans="1:50" ht="20.25" customHeight="1" x14ac:dyDescent="0.3">
      <c r="A79" s="1">
        <v>68</v>
      </c>
      <c r="B79" s="313" t="s">
        <v>8</v>
      </c>
      <c r="C79" s="40">
        <v>150</v>
      </c>
      <c r="D79" s="62"/>
      <c r="E79" s="73"/>
      <c r="F79" s="74"/>
      <c r="G79" s="75"/>
      <c r="H79" s="41"/>
      <c r="I79" s="75"/>
      <c r="J79" s="41"/>
      <c r="K79" s="75"/>
      <c r="L79" s="41"/>
      <c r="M79" s="42"/>
      <c r="N79" s="43"/>
      <c r="O79" s="44"/>
      <c r="P79" s="44"/>
      <c r="Q79" s="44"/>
      <c r="R79" s="44"/>
      <c r="S79" s="44"/>
      <c r="T79" s="44"/>
      <c r="U79" s="44"/>
      <c r="V79" s="44"/>
      <c r="W79" s="44"/>
      <c r="X79" s="44"/>
      <c r="Y79" s="44"/>
      <c r="Z79" s="44"/>
      <c r="AA79" s="44"/>
      <c r="AB79" s="44"/>
      <c r="AC79" s="44"/>
      <c r="AD79" s="44"/>
      <c r="AE79" s="44"/>
      <c r="AF79" s="44"/>
      <c r="AG79" s="44"/>
      <c r="AH79" s="44"/>
      <c r="AI79" s="44"/>
      <c r="AJ79" s="44"/>
      <c r="AK79" s="44"/>
      <c r="AL79" s="44"/>
      <c r="AM79" s="44"/>
      <c r="AN79" s="44"/>
      <c r="AO79" s="44"/>
      <c r="AP79" s="44"/>
      <c r="AQ79" s="44"/>
      <c r="AR79" s="70">
        <f>SUM(E79,G79,I79,K79,M79,-N79,-P79,-R79,-T79,-V79,-X79,-Z79,-AB79,-AD79,-AF79,-AP79,-AH79,-AJ79,-AL79,-AN79)</f>
        <v>0</v>
      </c>
      <c r="AS79" s="81">
        <v>0</v>
      </c>
      <c r="AT79" s="3"/>
      <c r="AU79" s="33"/>
      <c r="AV79" s="33"/>
      <c r="AW79" s="33"/>
      <c r="AX79" s="33"/>
    </row>
    <row r="80" spans="1:50" ht="20.25" customHeight="1" x14ac:dyDescent="0.3">
      <c r="A80" s="312">
        <v>69</v>
      </c>
      <c r="B80" s="314" t="s">
        <v>46</v>
      </c>
      <c r="C80" s="45">
        <v>150</v>
      </c>
      <c r="D80" s="60"/>
      <c r="E80" s="77"/>
      <c r="F80" s="64"/>
      <c r="G80" s="65"/>
      <c r="H80" s="46"/>
      <c r="I80" s="68"/>
      <c r="J80" s="46"/>
      <c r="K80" s="68"/>
      <c r="L80" s="46"/>
      <c r="M80" s="47"/>
      <c r="N80" s="78"/>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1">
        <f t="shared" ref="AR80:AR84" si="8">SUM(E80,G80,I80,K80,M80,-N80,-P80,-R80,-T80,-V80,-X80,-Z80,-AB80,-AD80,-AF80,-AP80,-AH80,-AJ80,-AL80,-AN80)</f>
        <v>0</v>
      </c>
      <c r="AS80" s="84">
        <v>0</v>
      </c>
      <c r="AT80" s="3"/>
      <c r="AU80" s="33"/>
      <c r="AV80" s="33"/>
      <c r="AW80" s="33"/>
      <c r="AX80" s="33"/>
    </row>
    <row r="81" spans="1:50" ht="20.25" customHeight="1" x14ac:dyDescent="0.3">
      <c r="A81" s="312">
        <v>70</v>
      </c>
      <c r="B81" s="314" t="s">
        <v>47</v>
      </c>
      <c r="C81" s="66">
        <v>150</v>
      </c>
      <c r="D81" s="60"/>
      <c r="E81" s="77"/>
      <c r="F81" s="67"/>
      <c r="G81" s="68"/>
      <c r="H81" s="46"/>
      <c r="I81" s="68"/>
      <c r="J81" s="46"/>
      <c r="K81" s="68"/>
      <c r="L81" s="46"/>
      <c r="M81" s="47"/>
      <c r="N81" s="78"/>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1">
        <f t="shared" si="8"/>
        <v>0</v>
      </c>
      <c r="AS81" s="82">
        <v>0</v>
      </c>
      <c r="AT81" s="3"/>
      <c r="AU81" s="33"/>
      <c r="AV81" s="33"/>
      <c r="AW81" s="33"/>
      <c r="AX81" s="33"/>
    </row>
    <row r="82" spans="1:50" x14ac:dyDescent="0.3">
      <c r="A82" s="312">
        <v>71</v>
      </c>
      <c r="B82" s="314" t="s">
        <v>48</v>
      </c>
      <c r="C82" s="45">
        <v>150</v>
      </c>
      <c r="D82" s="60"/>
      <c r="E82" s="77"/>
      <c r="F82" s="67"/>
      <c r="G82" s="68"/>
      <c r="H82" s="46"/>
      <c r="I82" s="68"/>
      <c r="J82" s="46"/>
      <c r="K82" s="68"/>
      <c r="L82" s="46"/>
      <c r="M82" s="47"/>
      <c r="N82" s="48"/>
      <c r="O82" s="49"/>
      <c r="P82" s="49"/>
      <c r="Q82" s="49"/>
      <c r="R82" s="49"/>
      <c r="S82" s="49"/>
      <c r="T82" s="49"/>
      <c r="U82" s="49"/>
      <c r="V82" s="49"/>
      <c r="W82" s="49"/>
      <c r="X82" s="49"/>
      <c r="Y82" s="49"/>
      <c r="Z82" s="49"/>
      <c r="AA82" s="49"/>
      <c r="AB82" s="49"/>
      <c r="AC82" s="49"/>
      <c r="AD82" s="49"/>
      <c r="AE82" s="49"/>
      <c r="AF82" s="49"/>
      <c r="AG82" s="49"/>
      <c r="AH82" s="49"/>
      <c r="AI82" s="49"/>
      <c r="AJ82" s="49"/>
      <c r="AK82" s="49"/>
      <c r="AL82" s="49"/>
      <c r="AM82" s="49"/>
      <c r="AN82" s="49"/>
      <c r="AO82" s="49"/>
      <c r="AP82" s="49"/>
      <c r="AQ82" s="49"/>
      <c r="AR82" s="1">
        <f t="shared" si="8"/>
        <v>0</v>
      </c>
      <c r="AS82" s="82">
        <v>0</v>
      </c>
      <c r="AT82" s="3"/>
      <c r="AU82" s="33"/>
      <c r="AV82" s="33"/>
      <c r="AW82" s="33"/>
      <c r="AX82" s="33"/>
    </row>
    <row r="83" spans="1:50" x14ac:dyDescent="0.3">
      <c r="A83" s="312">
        <v>72</v>
      </c>
      <c r="B83" s="314" t="s">
        <v>120</v>
      </c>
      <c r="C83" s="45" t="s">
        <v>118</v>
      </c>
      <c r="D83" s="60" t="s">
        <v>119</v>
      </c>
      <c r="E83" s="50"/>
      <c r="F83" s="67"/>
      <c r="G83" s="68"/>
      <c r="H83" s="46"/>
      <c r="I83" s="68"/>
      <c r="J83" s="46"/>
      <c r="K83" s="68"/>
      <c r="L83" s="46"/>
      <c r="M83" s="47"/>
      <c r="N83" s="48"/>
      <c r="O83" s="49"/>
      <c r="P83" s="49"/>
      <c r="Q83" s="49"/>
      <c r="R83" s="49"/>
      <c r="S83" s="49"/>
      <c r="T83" s="49"/>
      <c r="U83" s="49"/>
      <c r="V83" s="49"/>
      <c r="W83" s="49"/>
      <c r="X83" s="49"/>
      <c r="Y83" s="49"/>
      <c r="Z83" s="49"/>
      <c r="AA83" s="49"/>
      <c r="AB83" s="49"/>
      <c r="AC83" s="49"/>
      <c r="AD83" s="49"/>
      <c r="AE83" s="49"/>
      <c r="AF83" s="49"/>
      <c r="AG83" s="49"/>
      <c r="AH83" s="49"/>
      <c r="AI83" s="49"/>
      <c r="AJ83" s="49"/>
      <c r="AK83" s="49"/>
      <c r="AL83" s="49"/>
      <c r="AM83" s="49"/>
      <c r="AN83" s="49"/>
      <c r="AO83" s="49"/>
      <c r="AP83" s="49"/>
      <c r="AQ83" s="49"/>
      <c r="AR83" s="71">
        <f t="shared" si="8"/>
        <v>0</v>
      </c>
      <c r="AS83" s="82">
        <v>0</v>
      </c>
      <c r="AT83" s="3"/>
      <c r="AU83" s="33"/>
      <c r="AV83" s="33"/>
      <c r="AW83" s="33"/>
      <c r="AX83" s="33"/>
    </row>
    <row r="84" spans="1:50" ht="16.2" thickBot="1" x14ac:dyDescent="0.35">
      <c r="A84" s="71">
        <v>73</v>
      </c>
      <c r="B84" s="315" t="s">
        <v>126</v>
      </c>
      <c r="C84" s="52" t="s">
        <v>115</v>
      </c>
      <c r="D84" s="61" t="s">
        <v>125</v>
      </c>
      <c r="E84" s="53"/>
      <c r="F84" s="59"/>
      <c r="G84" s="54"/>
      <c r="H84" s="55"/>
      <c r="I84" s="69"/>
      <c r="J84" s="55"/>
      <c r="K84" s="69"/>
      <c r="L84" s="55"/>
      <c r="M84" s="56"/>
      <c r="N84" s="57"/>
      <c r="O84" s="58"/>
      <c r="P84" s="58"/>
      <c r="Q84" s="58"/>
      <c r="R84" s="58"/>
      <c r="S84" s="58"/>
      <c r="T84" s="58"/>
      <c r="U84" s="58"/>
      <c r="V84" s="58"/>
      <c r="W84" s="58"/>
      <c r="X84" s="58"/>
      <c r="Y84" s="58"/>
      <c r="Z84" s="58"/>
      <c r="AA84" s="58"/>
      <c r="AB84" s="58"/>
      <c r="AC84" s="58"/>
      <c r="AD84" s="58"/>
      <c r="AE84" s="58"/>
      <c r="AF84" s="58"/>
      <c r="AG84" s="58"/>
      <c r="AH84" s="58"/>
      <c r="AI84" s="58"/>
      <c r="AJ84" s="58"/>
      <c r="AK84" s="58"/>
      <c r="AL84" s="58"/>
      <c r="AM84" s="58"/>
      <c r="AN84" s="58"/>
      <c r="AO84" s="58"/>
      <c r="AP84" s="58"/>
      <c r="AQ84" s="58"/>
      <c r="AR84" s="79">
        <f t="shared" si="8"/>
        <v>0</v>
      </c>
      <c r="AS84" s="83">
        <v>1</v>
      </c>
      <c r="AT84" s="3"/>
      <c r="AU84" s="33"/>
      <c r="AV84" s="33"/>
      <c r="AW84" s="33"/>
      <c r="AX84" s="33"/>
    </row>
    <row r="85" spans="1:50" ht="20.25" customHeight="1" thickBot="1" x14ac:dyDescent="0.35">
      <c r="A85" s="33"/>
      <c r="B85" s="330" t="s">
        <v>141</v>
      </c>
      <c r="C85" s="330"/>
      <c r="D85" s="330"/>
      <c r="E85" s="330"/>
      <c r="F85" s="330"/>
      <c r="G85" s="330"/>
      <c r="H85" s="330"/>
      <c r="I85" s="330"/>
      <c r="J85" s="330"/>
      <c r="K85" s="330"/>
      <c r="L85" s="330"/>
      <c r="M85" s="330"/>
      <c r="N85" s="330"/>
      <c r="O85" s="330"/>
      <c r="P85" s="330"/>
      <c r="Q85" s="330"/>
      <c r="R85" s="330"/>
      <c r="S85" s="330"/>
      <c r="T85" s="330"/>
      <c r="U85" s="330"/>
      <c r="V85" s="330"/>
      <c r="W85" s="330"/>
      <c r="X85" s="330"/>
      <c r="Y85" s="330"/>
      <c r="Z85" s="330"/>
      <c r="AA85" s="330"/>
      <c r="AB85" s="330"/>
      <c r="AC85" s="330"/>
      <c r="AD85" s="330"/>
      <c r="AE85" s="330"/>
      <c r="AF85" s="330"/>
      <c r="AG85" s="330"/>
      <c r="AH85" s="330"/>
      <c r="AI85" s="330"/>
      <c r="AJ85" s="330"/>
      <c r="AK85" s="330"/>
      <c r="AL85" s="330"/>
      <c r="AM85" s="330"/>
      <c r="AN85" s="330"/>
      <c r="AO85" s="330"/>
      <c r="AP85" s="330"/>
      <c r="AQ85" s="330"/>
      <c r="AR85" s="330"/>
      <c r="AS85" s="273"/>
      <c r="AT85" s="3"/>
      <c r="AU85" s="33"/>
      <c r="AV85" s="33"/>
      <c r="AW85" s="33"/>
      <c r="AX85" s="33"/>
    </row>
    <row r="86" spans="1:50" ht="20.25" customHeight="1" x14ac:dyDescent="0.3">
      <c r="A86" s="71">
        <v>74</v>
      </c>
      <c r="B86" s="328" t="s">
        <v>159</v>
      </c>
      <c r="C86" s="107" t="s">
        <v>103</v>
      </c>
      <c r="D86" s="176" t="s">
        <v>81</v>
      </c>
      <c r="E86" s="230"/>
      <c r="F86" s="274"/>
      <c r="G86" s="275"/>
      <c r="H86" s="181"/>
      <c r="I86" s="276"/>
      <c r="J86" s="181"/>
      <c r="K86" s="276"/>
      <c r="L86" s="181"/>
      <c r="M86" s="182"/>
      <c r="N86" s="277"/>
      <c r="O86" s="278"/>
      <c r="P86" s="278"/>
      <c r="Q86" s="278"/>
      <c r="R86" s="278"/>
      <c r="S86" s="278"/>
      <c r="T86" s="278"/>
      <c r="U86" s="278"/>
      <c r="V86" s="278"/>
      <c r="W86" s="278"/>
      <c r="X86" s="278"/>
      <c r="Y86" s="278"/>
      <c r="Z86" s="278"/>
      <c r="AA86" s="278"/>
      <c r="AB86" s="278"/>
      <c r="AC86" s="278"/>
      <c r="AD86" s="278"/>
      <c r="AE86" s="278"/>
      <c r="AF86" s="278"/>
      <c r="AG86" s="278"/>
      <c r="AH86" s="278"/>
      <c r="AI86" s="278"/>
      <c r="AJ86" s="278"/>
      <c r="AK86" s="278"/>
      <c r="AL86" s="278"/>
      <c r="AM86" s="278"/>
      <c r="AN86" s="278"/>
      <c r="AO86" s="278"/>
      <c r="AP86" s="278"/>
      <c r="AQ86" s="278"/>
      <c r="AR86" s="279">
        <f>SUM(E86,G86,I86,K86,M86,-N86,-P86,-R86,-T86,-V86,-X86,-Z86,-AB86,-AD86,-AF86,-AP86,-AH86,-AJ86,-AL86,-AN86)</f>
        <v>0</v>
      </c>
      <c r="AS86" s="185">
        <v>3</v>
      </c>
      <c r="AT86" s="3"/>
      <c r="AU86" s="33"/>
      <c r="AV86" s="33"/>
      <c r="AW86" s="33"/>
      <c r="AX86" s="33"/>
    </row>
    <row r="87" spans="1:50" x14ac:dyDescent="0.3">
      <c r="A87" s="71">
        <v>75</v>
      </c>
      <c r="B87" s="320" t="s">
        <v>88</v>
      </c>
      <c r="C87" s="98" t="s">
        <v>117</v>
      </c>
      <c r="D87" s="104" t="s">
        <v>116</v>
      </c>
      <c r="E87" s="195"/>
      <c r="F87" s="253"/>
      <c r="G87" s="254"/>
      <c r="H87" s="190"/>
      <c r="I87" s="254"/>
      <c r="J87" s="190"/>
      <c r="K87" s="254"/>
      <c r="L87" s="190"/>
      <c r="M87" s="191"/>
      <c r="N87" s="280"/>
      <c r="O87" s="121"/>
      <c r="P87" s="121"/>
      <c r="Q87" s="121"/>
      <c r="R87" s="121"/>
      <c r="S87" s="121"/>
      <c r="T87" s="121"/>
      <c r="U87" s="121"/>
      <c r="V87" s="121"/>
      <c r="W87" s="121"/>
      <c r="X87" s="121"/>
      <c r="Y87" s="121"/>
      <c r="Z87" s="121"/>
      <c r="AA87" s="121"/>
      <c r="AB87" s="121"/>
      <c r="AC87" s="121"/>
      <c r="AD87" s="121"/>
      <c r="AE87" s="121"/>
      <c r="AF87" s="121"/>
      <c r="AG87" s="121"/>
      <c r="AH87" s="121"/>
      <c r="AI87" s="121"/>
      <c r="AJ87" s="121"/>
      <c r="AK87" s="121"/>
      <c r="AL87" s="121"/>
      <c r="AM87" s="121"/>
      <c r="AN87" s="121"/>
      <c r="AO87" s="121"/>
      <c r="AP87" s="121"/>
      <c r="AQ87" s="121"/>
      <c r="AR87" s="281">
        <f t="shared" ref="AR87:AR94" si="9">SUM(E87,G87,I87,K87,M87,-N87,-P87,-R87,-T87,-V87,-X87,-Z87,-AB87,-AD87,-AF87,-AP87,-AH87,-AJ87,-AL87,-AN87)</f>
        <v>0</v>
      </c>
      <c r="AS87" s="282">
        <v>14</v>
      </c>
    </row>
    <row r="88" spans="1:50" x14ac:dyDescent="0.3">
      <c r="A88" s="316">
        <v>76</v>
      </c>
      <c r="B88" s="320" t="s">
        <v>157</v>
      </c>
      <c r="C88" s="98" t="s">
        <v>115</v>
      </c>
      <c r="D88" s="283" t="s">
        <v>81</v>
      </c>
      <c r="E88" s="195"/>
      <c r="F88" s="284"/>
      <c r="G88" s="133"/>
      <c r="H88" s="141"/>
      <c r="I88" s="158"/>
      <c r="J88" s="141"/>
      <c r="K88" s="158"/>
      <c r="L88" s="141"/>
      <c r="M88" s="159"/>
      <c r="N88" s="164"/>
      <c r="O88" s="154"/>
      <c r="P88" s="154"/>
      <c r="Q88" s="154"/>
      <c r="R88" s="154"/>
      <c r="S88" s="154"/>
      <c r="T88" s="154"/>
      <c r="U88" s="154"/>
      <c r="V88" s="154"/>
      <c r="W88" s="154"/>
      <c r="X88" s="154"/>
      <c r="Y88" s="154"/>
      <c r="Z88" s="154"/>
      <c r="AA88" s="154"/>
      <c r="AB88" s="154"/>
      <c r="AC88" s="154"/>
      <c r="AD88" s="154"/>
      <c r="AE88" s="154"/>
      <c r="AF88" s="154"/>
      <c r="AG88" s="154"/>
      <c r="AH88" s="154"/>
      <c r="AI88" s="154"/>
      <c r="AJ88" s="154"/>
      <c r="AK88" s="154"/>
      <c r="AL88" s="154"/>
      <c r="AM88" s="154"/>
      <c r="AN88" s="154"/>
      <c r="AO88" s="154"/>
      <c r="AP88" s="154"/>
      <c r="AQ88" s="154"/>
      <c r="AR88" s="281">
        <f t="shared" si="9"/>
        <v>0</v>
      </c>
      <c r="AS88" s="162">
        <v>7</v>
      </c>
    </row>
    <row r="89" spans="1:50" x14ac:dyDescent="0.3">
      <c r="A89" s="317">
        <v>77</v>
      </c>
      <c r="B89" s="320" t="s">
        <v>50</v>
      </c>
      <c r="C89" s="97">
        <v>800</v>
      </c>
      <c r="D89" s="104" t="s">
        <v>81</v>
      </c>
      <c r="E89" s="186"/>
      <c r="F89" s="187"/>
      <c r="G89" s="188"/>
      <c r="H89" s="189"/>
      <c r="I89" s="188"/>
      <c r="J89" s="189"/>
      <c r="K89" s="188"/>
      <c r="L89" s="190"/>
      <c r="M89" s="191"/>
      <c r="N89" s="261"/>
      <c r="O89" s="262"/>
      <c r="P89" s="262"/>
      <c r="Q89" s="262"/>
      <c r="R89" s="262"/>
      <c r="S89" s="262"/>
      <c r="T89" s="262"/>
      <c r="U89" s="262"/>
      <c r="V89" s="262"/>
      <c r="W89" s="262"/>
      <c r="X89" s="262"/>
      <c r="Y89" s="262"/>
      <c r="Z89" s="262"/>
      <c r="AA89" s="262"/>
      <c r="AB89" s="262"/>
      <c r="AC89" s="262"/>
      <c r="AD89" s="262"/>
      <c r="AE89" s="262"/>
      <c r="AF89" s="262"/>
      <c r="AG89" s="262"/>
      <c r="AH89" s="262"/>
      <c r="AI89" s="262"/>
      <c r="AJ89" s="262"/>
      <c r="AK89" s="262"/>
      <c r="AL89" s="262"/>
      <c r="AM89" s="262"/>
      <c r="AN89" s="262"/>
      <c r="AO89" s="262"/>
      <c r="AP89" s="262"/>
      <c r="AQ89" s="262"/>
      <c r="AR89" s="285">
        <f t="shared" si="9"/>
        <v>0</v>
      </c>
      <c r="AS89" s="162">
        <v>0</v>
      </c>
    </row>
    <row r="90" spans="1:50" x14ac:dyDescent="0.3">
      <c r="A90" s="71">
        <v>78</v>
      </c>
      <c r="B90" s="320" t="s">
        <v>59</v>
      </c>
      <c r="C90" s="98" t="s">
        <v>103</v>
      </c>
      <c r="D90" s="104" t="s">
        <v>116</v>
      </c>
      <c r="E90" s="195"/>
      <c r="F90" s="253"/>
      <c r="G90" s="254"/>
      <c r="H90" s="190"/>
      <c r="I90" s="254"/>
      <c r="J90" s="190"/>
      <c r="K90" s="254"/>
      <c r="L90" s="190"/>
      <c r="M90" s="191"/>
      <c r="N90" s="192"/>
      <c r="O90" s="193"/>
      <c r="P90" s="193"/>
      <c r="Q90" s="193"/>
      <c r="R90" s="193"/>
      <c r="S90" s="193"/>
      <c r="T90" s="193"/>
      <c r="U90" s="193"/>
      <c r="V90" s="193"/>
      <c r="W90" s="193"/>
      <c r="X90" s="193"/>
      <c r="Y90" s="193"/>
      <c r="Z90" s="193"/>
      <c r="AA90" s="193"/>
      <c r="AB90" s="193"/>
      <c r="AC90" s="193"/>
      <c r="AD90" s="193"/>
      <c r="AE90" s="193"/>
      <c r="AF90" s="193"/>
      <c r="AG90" s="193"/>
      <c r="AH90" s="193"/>
      <c r="AI90" s="193"/>
      <c r="AJ90" s="193"/>
      <c r="AK90" s="193"/>
      <c r="AL90" s="193"/>
      <c r="AM90" s="193"/>
      <c r="AN90" s="193"/>
      <c r="AO90" s="193"/>
      <c r="AP90" s="193"/>
      <c r="AQ90" s="193"/>
      <c r="AR90" s="281">
        <f t="shared" si="9"/>
        <v>0</v>
      </c>
      <c r="AS90" s="194">
        <v>0</v>
      </c>
    </row>
    <row r="91" spans="1:50" x14ac:dyDescent="0.3">
      <c r="A91" s="71">
        <v>79</v>
      </c>
      <c r="B91" s="318" t="s">
        <v>139</v>
      </c>
      <c r="C91" s="108" t="s">
        <v>114</v>
      </c>
      <c r="D91" s="104"/>
      <c r="E91" s="286"/>
      <c r="F91" s="253"/>
      <c r="G91" s="287"/>
      <c r="H91" s="190"/>
      <c r="I91" s="254"/>
      <c r="J91" s="190"/>
      <c r="K91" s="254"/>
      <c r="L91" s="190"/>
      <c r="M91" s="191"/>
      <c r="N91" s="280"/>
      <c r="O91" s="121"/>
      <c r="P91" s="121"/>
      <c r="Q91" s="121"/>
      <c r="R91" s="121"/>
      <c r="S91" s="121"/>
      <c r="T91" s="121"/>
      <c r="U91" s="121"/>
      <c r="V91" s="121"/>
      <c r="W91" s="121"/>
      <c r="X91" s="121"/>
      <c r="Y91" s="121"/>
      <c r="Z91" s="121"/>
      <c r="AA91" s="121"/>
      <c r="AB91" s="121"/>
      <c r="AC91" s="121"/>
      <c r="AD91" s="121"/>
      <c r="AE91" s="121"/>
      <c r="AF91" s="121"/>
      <c r="AG91" s="121"/>
      <c r="AH91" s="121"/>
      <c r="AI91" s="121"/>
      <c r="AJ91" s="121"/>
      <c r="AK91" s="121"/>
      <c r="AL91" s="121"/>
      <c r="AM91" s="121"/>
      <c r="AN91" s="121"/>
      <c r="AO91" s="121"/>
      <c r="AP91" s="121"/>
      <c r="AQ91" s="121"/>
      <c r="AR91" s="281">
        <f t="shared" si="9"/>
        <v>0</v>
      </c>
      <c r="AS91" s="194">
        <v>9</v>
      </c>
    </row>
    <row r="92" spans="1:50" x14ac:dyDescent="0.3">
      <c r="A92" s="71">
        <v>80</v>
      </c>
      <c r="B92" s="324" t="s">
        <v>196</v>
      </c>
      <c r="C92" s="103" t="s">
        <v>143</v>
      </c>
      <c r="D92" s="104" t="s">
        <v>145</v>
      </c>
      <c r="E92" s="288"/>
      <c r="F92" s="253"/>
      <c r="G92" s="254"/>
      <c r="H92" s="190"/>
      <c r="I92" s="254"/>
      <c r="J92" s="190"/>
      <c r="K92" s="254"/>
      <c r="L92" s="190"/>
      <c r="M92" s="191"/>
      <c r="N92" s="280"/>
      <c r="O92" s="121"/>
      <c r="P92" s="121"/>
      <c r="Q92" s="121"/>
      <c r="R92" s="121"/>
      <c r="S92" s="121"/>
      <c r="T92" s="121"/>
      <c r="U92" s="121"/>
      <c r="V92" s="121"/>
      <c r="W92" s="121"/>
      <c r="X92" s="121"/>
      <c r="Y92" s="121"/>
      <c r="Z92" s="121"/>
      <c r="AA92" s="121"/>
      <c r="AB92" s="121"/>
      <c r="AC92" s="121"/>
      <c r="AD92" s="121"/>
      <c r="AE92" s="121"/>
      <c r="AF92" s="121"/>
      <c r="AG92" s="121"/>
      <c r="AH92" s="121"/>
      <c r="AI92" s="121"/>
      <c r="AJ92" s="121"/>
      <c r="AK92" s="121"/>
      <c r="AL92" s="121"/>
      <c r="AM92" s="121"/>
      <c r="AN92" s="121"/>
      <c r="AO92" s="121"/>
      <c r="AP92" s="121"/>
      <c r="AQ92" s="121"/>
      <c r="AR92" s="281">
        <f t="shared" si="9"/>
        <v>0</v>
      </c>
      <c r="AS92" s="194">
        <v>1</v>
      </c>
      <c r="AT92" s="2" t="s">
        <v>195</v>
      </c>
    </row>
    <row r="93" spans="1:50" x14ac:dyDescent="0.3">
      <c r="A93" s="71">
        <v>81</v>
      </c>
      <c r="B93" s="318" t="s">
        <v>146</v>
      </c>
      <c r="C93" s="103" t="s">
        <v>143</v>
      </c>
      <c r="D93" s="104" t="s">
        <v>144</v>
      </c>
      <c r="E93" s="195"/>
      <c r="F93" s="253"/>
      <c r="G93" s="254"/>
      <c r="H93" s="190"/>
      <c r="I93" s="254"/>
      <c r="J93" s="190"/>
      <c r="K93" s="254"/>
      <c r="L93" s="190"/>
      <c r="M93" s="191"/>
      <c r="N93" s="280"/>
      <c r="O93" s="121"/>
      <c r="P93" s="121"/>
      <c r="Q93" s="121"/>
      <c r="R93" s="121"/>
      <c r="S93" s="121"/>
      <c r="T93" s="121"/>
      <c r="U93" s="121"/>
      <c r="V93" s="121"/>
      <c r="W93" s="121"/>
      <c r="X93" s="121"/>
      <c r="Y93" s="121"/>
      <c r="Z93" s="121"/>
      <c r="AA93" s="121"/>
      <c r="AB93" s="121"/>
      <c r="AC93" s="121"/>
      <c r="AD93" s="121"/>
      <c r="AE93" s="121"/>
      <c r="AF93" s="121"/>
      <c r="AG93" s="121"/>
      <c r="AH93" s="121"/>
      <c r="AI93" s="121"/>
      <c r="AJ93" s="121"/>
      <c r="AK93" s="121"/>
      <c r="AL93" s="121"/>
      <c r="AM93" s="121"/>
      <c r="AN93" s="121"/>
      <c r="AO93" s="121"/>
      <c r="AP93" s="121"/>
      <c r="AQ93" s="121"/>
      <c r="AR93" s="281">
        <f t="shared" si="9"/>
        <v>0</v>
      </c>
      <c r="AS93" s="194">
        <v>1</v>
      </c>
    </row>
    <row r="94" spans="1:50" ht="16.2" thickBot="1" x14ac:dyDescent="0.35">
      <c r="A94" s="71">
        <v>82</v>
      </c>
      <c r="B94" s="327" t="s">
        <v>160</v>
      </c>
      <c r="C94" s="109" t="s">
        <v>161</v>
      </c>
      <c r="D94" s="101" t="s">
        <v>81</v>
      </c>
      <c r="E94" s="289"/>
      <c r="F94" s="256"/>
      <c r="G94" s="257"/>
      <c r="H94" s="205"/>
      <c r="I94" s="257"/>
      <c r="J94" s="205"/>
      <c r="K94" s="257"/>
      <c r="L94" s="205"/>
      <c r="M94" s="206"/>
      <c r="N94" s="290"/>
      <c r="O94" s="291"/>
      <c r="P94" s="291"/>
      <c r="Q94" s="291"/>
      <c r="R94" s="291"/>
      <c r="S94" s="291"/>
      <c r="T94" s="291"/>
      <c r="U94" s="291"/>
      <c r="V94" s="291"/>
      <c r="W94" s="291"/>
      <c r="X94" s="291"/>
      <c r="Y94" s="291"/>
      <c r="Z94" s="291"/>
      <c r="AA94" s="291"/>
      <c r="AB94" s="291"/>
      <c r="AC94" s="291"/>
      <c r="AD94" s="291"/>
      <c r="AE94" s="291"/>
      <c r="AF94" s="291"/>
      <c r="AG94" s="291"/>
      <c r="AH94" s="291"/>
      <c r="AI94" s="291"/>
      <c r="AJ94" s="291"/>
      <c r="AK94" s="291"/>
      <c r="AL94" s="291"/>
      <c r="AM94" s="291"/>
      <c r="AN94" s="291"/>
      <c r="AO94" s="291"/>
      <c r="AP94" s="291"/>
      <c r="AQ94" s="291"/>
      <c r="AR94" s="292">
        <f t="shared" si="9"/>
        <v>0</v>
      </c>
      <c r="AS94" s="210">
        <v>1</v>
      </c>
    </row>
    <row r="95" spans="1:50" ht="16.2" thickBot="1" x14ac:dyDescent="0.35">
      <c r="B95" s="334" t="s">
        <v>129</v>
      </c>
      <c r="C95" s="334"/>
      <c r="D95" s="334"/>
      <c r="E95" s="334"/>
      <c r="F95" s="334"/>
      <c r="G95" s="334"/>
      <c r="H95" s="334"/>
      <c r="I95" s="334"/>
      <c r="J95" s="334"/>
      <c r="K95" s="334"/>
      <c r="L95" s="334"/>
      <c r="M95" s="334"/>
      <c r="N95" s="334"/>
      <c r="O95" s="334"/>
      <c r="P95" s="334"/>
      <c r="Q95" s="334"/>
      <c r="R95" s="334"/>
      <c r="S95" s="334"/>
      <c r="T95" s="334"/>
      <c r="U95" s="334"/>
      <c r="V95" s="334"/>
      <c r="W95" s="334"/>
      <c r="X95" s="334"/>
      <c r="Y95" s="334"/>
      <c r="Z95" s="334"/>
      <c r="AA95" s="334"/>
      <c r="AB95" s="334"/>
      <c r="AC95" s="334"/>
      <c r="AD95" s="334"/>
      <c r="AE95" s="334"/>
      <c r="AF95" s="334"/>
      <c r="AG95" s="334"/>
      <c r="AH95" s="334"/>
      <c r="AI95" s="334"/>
      <c r="AJ95" s="334"/>
      <c r="AK95" s="334"/>
      <c r="AL95" s="334"/>
      <c r="AM95" s="334"/>
      <c r="AN95" s="334"/>
      <c r="AO95" s="334"/>
      <c r="AP95" s="334"/>
      <c r="AQ95" s="334"/>
      <c r="AR95" s="334"/>
      <c r="AS95" s="334"/>
    </row>
    <row r="96" spans="1:50" ht="16.2" thickBot="1" x14ac:dyDescent="0.35">
      <c r="A96" s="34">
        <v>83</v>
      </c>
      <c r="B96" s="89" t="s">
        <v>14</v>
      </c>
      <c r="C96" s="96">
        <v>650</v>
      </c>
      <c r="D96" s="293" t="s">
        <v>12</v>
      </c>
      <c r="E96" s="294"/>
      <c r="F96" s="295"/>
      <c r="G96" s="149"/>
      <c r="H96" s="148"/>
      <c r="I96" s="149"/>
      <c r="J96" s="148"/>
      <c r="K96" s="149"/>
      <c r="L96" s="148"/>
      <c r="M96" s="150"/>
      <c r="N96" s="151"/>
      <c r="O96" s="144"/>
      <c r="P96" s="144"/>
      <c r="Q96" s="144"/>
      <c r="R96" s="144"/>
      <c r="S96" s="144"/>
      <c r="T96" s="144"/>
      <c r="U96" s="144"/>
      <c r="V96" s="144"/>
      <c r="W96" s="144"/>
      <c r="X96" s="144"/>
      <c r="Y96" s="144"/>
      <c r="Z96" s="144"/>
      <c r="AA96" s="144"/>
      <c r="AB96" s="144"/>
      <c r="AC96" s="144"/>
      <c r="AD96" s="144"/>
      <c r="AE96" s="144"/>
      <c r="AF96" s="144"/>
      <c r="AG96" s="144"/>
      <c r="AH96" s="144"/>
      <c r="AI96" s="144"/>
      <c r="AJ96" s="144"/>
      <c r="AK96" s="144"/>
      <c r="AL96" s="144"/>
      <c r="AM96" s="144"/>
      <c r="AN96" s="144"/>
      <c r="AO96" s="144"/>
      <c r="AP96" s="144"/>
      <c r="AQ96" s="144"/>
      <c r="AR96" s="106">
        <f>SUM(E96,G96,I96,K96,M96,-N96,-P96,-R96,-T96,-V96,-X96,-Z96,-AB96,-AD96,-AF96,-AP96,-AH96,-AJ96,-AL96,-AN96)</f>
        <v>0</v>
      </c>
      <c r="AS96" s="153"/>
    </row>
    <row r="97" spans="1:46" ht="16.2" thickBot="1" x14ac:dyDescent="0.35">
      <c r="A97" s="34">
        <v>84</v>
      </c>
      <c r="B97" s="15" t="s">
        <v>13</v>
      </c>
      <c r="C97" s="97">
        <v>650</v>
      </c>
      <c r="D97" s="283" t="s">
        <v>12</v>
      </c>
      <c r="E97" s="286"/>
      <c r="F97" s="284"/>
      <c r="G97" s="158"/>
      <c r="H97" s="141"/>
      <c r="I97" s="158"/>
      <c r="J97" s="141"/>
      <c r="K97" s="158"/>
      <c r="L97" s="141"/>
      <c r="M97" s="159"/>
      <c r="N97" s="164"/>
      <c r="O97" s="154"/>
      <c r="P97" s="154"/>
      <c r="Q97" s="154"/>
      <c r="R97" s="154"/>
      <c r="S97" s="154"/>
      <c r="T97" s="154"/>
      <c r="U97" s="154"/>
      <c r="V97" s="154"/>
      <c r="W97" s="154"/>
      <c r="X97" s="154"/>
      <c r="Y97" s="154"/>
      <c r="Z97" s="154"/>
      <c r="AA97" s="154"/>
      <c r="AB97" s="154"/>
      <c r="AC97" s="154"/>
      <c r="AD97" s="154"/>
      <c r="AE97" s="154"/>
      <c r="AF97" s="154"/>
      <c r="AG97" s="154"/>
      <c r="AH97" s="154"/>
      <c r="AI97" s="154"/>
      <c r="AJ97" s="154"/>
      <c r="AK97" s="154"/>
      <c r="AL97" s="154"/>
      <c r="AM97" s="154"/>
      <c r="AN97" s="154"/>
      <c r="AO97" s="154"/>
      <c r="AP97" s="154"/>
      <c r="AQ97" s="154"/>
      <c r="AR97" s="98">
        <f t="shared" ref="AR97:AR113" si="10">SUM(E97,G97,I97,K97,M97,-N97,-P97,-R97,-T97,-V97,-X97,-Z97,-AB97,-AD97,-AF97,-AP97,-AH97,-AJ97,-AL97,-AN97)</f>
        <v>0</v>
      </c>
      <c r="AS97" s="153"/>
    </row>
    <row r="98" spans="1:46" ht="16.2" thickBot="1" x14ac:dyDescent="0.35">
      <c r="A98" s="34">
        <v>85</v>
      </c>
      <c r="B98" s="16" t="s">
        <v>15</v>
      </c>
      <c r="C98" s="97">
        <v>650</v>
      </c>
      <c r="D98" s="283" t="s">
        <v>12</v>
      </c>
      <c r="E98" s="286"/>
      <c r="F98" s="284"/>
      <c r="G98" s="158"/>
      <c r="H98" s="141"/>
      <c r="I98" s="158"/>
      <c r="J98" s="141"/>
      <c r="K98" s="158"/>
      <c r="L98" s="141"/>
      <c r="M98" s="159"/>
      <c r="N98" s="164"/>
      <c r="O98" s="154"/>
      <c r="P98" s="154"/>
      <c r="Q98" s="154"/>
      <c r="R98" s="154"/>
      <c r="S98" s="154"/>
      <c r="T98" s="154"/>
      <c r="U98" s="154"/>
      <c r="V98" s="154"/>
      <c r="W98" s="154"/>
      <c r="X98" s="154"/>
      <c r="Y98" s="154"/>
      <c r="Z98" s="154"/>
      <c r="AA98" s="154"/>
      <c r="AB98" s="154"/>
      <c r="AC98" s="154"/>
      <c r="AD98" s="154"/>
      <c r="AE98" s="154"/>
      <c r="AF98" s="154"/>
      <c r="AG98" s="154"/>
      <c r="AH98" s="154"/>
      <c r="AI98" s="154"/>
      <c r="AJ98" s="154"/>
      <c r="AK98" s="154"/>
      <c r="AL98" s="154"/>
      <c r="AM98" s="154"/>
      <c r="AN98" s="154"/>
      <c r="AO98" s="154"/>
      <c r="AP98" s="154"/>
      <c r="AQ98" s="154"/>
      <c r="AR98" s="98">
        <f t="shared" si="10"/>
        <v>0</v>
      </c>
      <c r="AS98" s="153"/>
    </row>
    <row r="99" spans="1:46" ht="16.2" thickBot="1" x14ac:dyDescent="0.35">
      <c r="A99" s="34">
        <v>86</v>
      </c>
      <c r="B99" s="17" t="s">
        <v>16</v>
      </c>
      <c r="C99" s="97">
        <v>650</v>
      </c>
      <c r="D99" s="283" t="s">
        <v>12</v>
      </c>
      <c r="E99" s="286"/>
      <c r="F99" s="284"/>
      <c r="G99" s="158"/>
      <c r="H99" s="141"/>
      <c r="I99" s="158"/>
      <c r="J99" s="141"/>
      <c r="K99" s="158"/>
      <c r="L99" s="141"/>
      <c r="M99" s="159"/>
      <c r="N99" s="164"/>
      <c r="O99" s="154"/>
      <c r="P99" s="154"/>
      <c r="Q99" s="154"/>
      <c r="R99" s="154"/>
      <c r="S99" s="154"/>
      <c r="T99" s="154"/>
      <c r="U99" s="154"/>
      <c r="V99" s="154"/>
      <c r="W99" s="154"/>
      <c r="X99" s="154"/>
      <c r="Y99" s="154"/>
      <c r="Z99" s="154"/>
      <c r="AA99" s="154"/>
      <c r="AB99" s="154"/>
      <c r="AC99" s="154"/>
      <c r="AD99" s="154"/>
      <c r="AE99" s="154"/>
      <c r="AF99" s="154"/>
      <c r="AG99" s="154"/>
      <c r="AH99" s="154"/>
      <c r="AI99" s="154"/>
      <c r="AJ99" s="154"/>
      <c r="AK99" s="154"/>
      <c r="AL99" s="154"/>
      <c r="AM99" s="154"/>
      <c r="AN99" s="154"/>
      <c r="AO99" s="154"/>
      <c r="AP99" s="154"/>
      <c r="AQ99" s="154"/>
      <c r="AR99" s="98">
        <f t="shared" si="10"/>
        <v>0</v>
      </c>
      <c r="AS99" s="153"/>
    </row>
    <row r="100" spans="1:46" ht="16.2" thickBot="1" x14ac:dyDescent="0.35">
      <c r="A100" s="34">
        <v>87</v>
      </c>
      <c r="B100" s="18" t="s">
        <v>17</v>
      </c>
      <c r="C100" s="97">
        <v>750</v>
      </c>
      <c r="D100" s="283" t="s">
        <v>12</v>
      </c>
      <c r="E100" s="296"/>
      <c r="F100" s="284"/>
      <c r="G100" s="158"/>
      <c r="H100" s="141"/>
      <c r="I100" s="158"/>
      <c r="J100" s="141"/>
      <c r="K100" s="158"/>
      <c r="L100" s="141"/>
      <c r="M100" s="159"/>
      <c r="N100" s="164"/>
      <c r="O100" s="154"/>
      <c r="P100" s="154"/>
      <c r="Q100" s="154"/>
      <c r="R100" s="154"/>
      <c r="S100" s="154"/>
      <c r="T100" s="154"/>
      <c r="U100" s="154"/>
      <c r="V100" s="154"/>
      <c r="W100" s="154"/>
      <c r="X100" s="154"/>
      <c r="Y100" s="154"/>
      <c r="Z100" s="154"/>
      <c r="AA100" s="154"/>
      <c r="AB100" s="154"/>
      <c r="AC100" s="154"/>
      <c r="AD100" s="154"/>
      <c r="AE100" s="154"/>
      <c r="AF100" s="154"/>
      <c r="AG100" s="154"/>
      <c r="AH100" s="154"/>
      <c r="AI100" s="154"/>
      <c r="AJ100" s="154"/>
      <c r="AK100" s="154"/>
      <c r="AL100" s="154"/>
      <c r="AM100" s="154"/>
      <c r="AN100" s="154"/>
      <c r="AO100" s="154"/>
      <c r="AP100" s="154"/>
      <c r="AQ100" s="154"/>
      <c r="AR100" s="98">
        <f t="shared" si="10"/>
        <v>0</v>
      </c>
      <c r="AS100" s="153"/>
      <c r="AT100" s="2" t="s">
        <v>191</v>
      </c>
    </row>
    <row r="101" spans="1:46" ht="16.2" thickBot="1" x14ac:dyDescent="0.35">
      <c r="A101" s="34">
        <v>88</v>
      </c>
      <c r="B101" s="15" t="s">
        <v>18</v>
      </c>
      <c r="C101" s="97">
        <v>750</v>
      </c>
      <c r="D101" s="283" t="s">
        <v>12</v>
      </c>
      <c r="E101" s="296"/>
      <c r="F101" s="284"/>
      <c r="G101" s="158"/>
      <c r="H101" s="141"/>
      <c r="I101" s="158"/>
      <c r="J101" s="141"/>
      <c r="K101" s="158"/>
      <c r="L101" s="141"/>
      <c r="M101" s="159"/>
      <c r="N101" s="164"/>
      <c r="O101" s="154"/>
      <c r="P101" s="154"/>
      <c r="Q101" s="154"/>
      <c r="R101" s="154"/>
      <c r="S101" s="154"/>
      <c r="T101" s="154"/>
      <c r="U101" s="154"/>
      <c r="V101" s="154"/>
      <c r="W101" s="154"/>
      <c r="X101" s="154"/>
      <c r="Y101" s="154"/>
      <c r="Z101" s="154"/>
      <c r="AA101" s="154"/>
      <c r="AB101" s="154"/>
      <c r="AC101" s="154"/>
      <c r="AD101" s="154"/>
      <c r="AE101" s="154"/>
      <c r="AF101" s="154"/>
      <c r="AG101" s="154"/>
      <c r="AH101" s="154"/>
      <c r="AI101" s="154"/>
      <c r="AJ101" s="154"/>
      <c r="AK101" s="154"/>
      <c r="AL101" s="154"/>
      <c r="AM101" s="154"/>
      <c r="AN101" s="154"/>
      <c r="AO101" s="154"/>
      <c r="AP101" s="154"/>
      <c r="AQ101" s="154"/>
      <c r="AR101" s="98">
        <f t="shared" si="10"/>
        <v>0</v>
      </c>
      <c r="AS101" s="153"/>
      <c r="AT101" s="2" t="s">
        <v>191</v>
      </c>
    </row>
    <row r="102" spans="1:46" ht="16.2" thickBot="1" x14ac:dyDescent="0.35">
      <c r="A102" s="34">
        <v>89</v>
      </c>
      <c r="B102" s="16" t="s">
        <v>19</v>
      </c>
      <c r="C102" s="97">
        <v>750</v>
      </c>
      <c r="D102" s="283" t="s">
        <v>12</v>
      </c>
      <c r="E102" s="296"/>
      <c r="F102" s="284"/>
      <c r="G102" s="158"/>
      <c r="H102" s="141"/>
      <c r="I102" s="158"/>
      <c r="J102" s="141"/>
      <c r="K102" s="158"/>
      <c r="L102" s="141"/>
      <c r="M102" s="159"/>
      <c r="N102" s="164"/>
      <c r="O102" s="154"/>
      <c r="P102" s="154"/>
      <c r="Q102" s="154"/>
      <c r="R102" s="154"/>
      <c r="S102" s="154"/>
      <c r="T102" s="154"/>
      <c r="U102" s="154"/>
      <c r="V102" s="154"/>
      <c r="W102" s="154"/>
      <c r="X102" s="154"/>
      <c r="Y102" s="154"/>
      <c r="Z102" s="154"/>
      <c r="AA102" s="154"/>
      <c r="AB102" s="154"/>
      <c r="AC102" s="154"/>
      <c r="AD102" s="154"/>
      <c r="AE102" s="154"/>
      <c r="AF102" s="154"/>
      <c r="AG102" s="154"/>
      <c r="AH102" s="154"/>
      <c r="AI102" s="154"/>
      <c r="AJ102" s="154"/>
      <c r="AK102" s="154"/>
      <c r="AL102" s="154"/>
      <c r="AM102" s="154"/>
      <c r="AN102" s="154"/>
      <c r="AO102" s="154"/>
      <c r="AP102" s="154"/>
      <c r="AQ102" s="154"/>
      <c r="AR102" s="98">
        <f t="shared" si="10"/>
        <v>0</v>
      </c>
      <c r="AS102" s="153"/>
      <c r="AT102" s="2" t="s">
        <v>191</v>
      </c>
    </row>
    <row r="103" spans="1:46" ht="16.2" thickBot="1" x14ac:dyDescent="0.35">
      <c r="A103" s="34">
        <v>90</v>
      </c>
      <c r="B103" s="17" t="s">
        <v>20</v>
      </c>
      <c r="C103" s="97">
        <v>750</v>
      </c>
      <c r="D103" s="283" t="s">
        <v>12</v>
      </c>
      <c r="E103" s="296"/>
      <c r="F103" s="284"/>
      <c r="G103" s="158"/>
      <c r="H103" s="141"/>
      <c r="I103" s="158"/>
      <c r="J103" s="141"/>
      <c r="K103" s="158"/>
      <c r="L103" s="141"/>
      <c r="M103" s="159"/>
      <c r="N103" s="164"/>
      <c r="O103" s="154"/>
      <c r="P103" s="154"/>
      <c r="Q103" s="154"/>
      <c r="R103" s="154"/>
      <c r="S103" s="154"/>
      <c r="T103" s="154"/>
      <c r="U103" s="154"/>
      <c r="V103" s="154"/>
      <c r="W103" s="154"/>
      <c r="X103" s="154"/>
      <c r="Y103" s="154"/>
      <c r="Z103" s="154"/>
      <c r="AA103" s="154"/>
      <c r="AB103" s="154"/>
      <c r="AC103" s="154"/>
      <c r="AD103" s="154"/>
      <c r="AE103" s="154"/>
      <c r="AF103" s="154"/>
      <c r="AG103" s="154"/>
      <c r="AH103" s="154"/>
      <c r="AI103" s="154"/>
      <c r="AJ103" s="154"/>
      <c r="AK103" s="154"/>
      <c r="AL103" s="154"/>
      <c r="AM103" s="154"/>
      <c r="AN103" s="154"/>
      <c r="AO103" s="154"/>
      <c r="AP103" s="154"/>
      <c r="AQ103" s="154"/>
      <c r="AR103" s="98">
        <f t="shared" si="10"/>
        <v>0</v>
      </c>
      <c r="AS103" s="153"/>
      <c r="AT103" s="2" t="s">
        <v>191</v>
      </c>
    </row>
    <row r="104" spans="1:46" ht="16.2" thickBot="1" x14ac:dyDescent="0.35">
      <c r="A104" s="34">
        <v>91</v>
      </c>
      <c r="B104" s="18" t="s">
        <v>69</v>
      </c>
      <c r="C104" s="97">
        <v>750</v>
      </c>
      <c r="D104" s="283" t="s">
        <v>12</v>
      </c>
      <c r="E104" s="296"/>
      <c r="F104" s="284"/>
      <c r="G104" s="158"/>
      <c r="H104" s="141"/>
      <c r="I104" s="158"/>
      <c r="J104" s="141"/>
      <c r="K104" s="158"/>
      <c r="L104" s="141"/>
      <c r="M104" s="159"/>
      <c r="N104" s="164"/>
      <c r="O104" s="154"/>
      <c r="P104" s="154"/>
      <c r="Q104" s="154"/>
      <c r="R104" s="154"/>
      <c r="S104" s="154"/>
      <c r="T104" s="154"/>
      <c r="U104" s="154"/>
      <c r="V104" s="154"/>
      <c r="W104" s="154"/>
      <c r="X104" s="154"/>
      <c r="Y104" s="154"/>
      <c r="Z104" s="154"/>
      <c r="AA104" s="154"/>
      <c r="AB104" s="154"/>
      <c r="AC104" s="154"/>
      <c r="AD104" s="154"/>
      <c r="AE104" s="154"/>
      <c r="AF104" s="154"/>
      <c r="AG104" s="154"/>
      <c r="AH104" s="154"/>
      <c r="AI104" s="154"/>
      <c r="AJ104" s="154"/>
      <c r="AK104" s="154"/>
      <c r="AL104" s="154"/>
      <c r="AM104" s="154"/>
      <c r="AN104" s="154"/>
      <c r="AO104" s="154"/>
      <c r="AP104" s="154"/>
      <c r="AQ104" s="154"/>
      <c r="AR104" s="98">
        <f t="shared" si="10"/>
        <v>0</v>
      </c>
      <c r="AS104" s="153"/>
    </row>
    <row r="105" spans="1:46" ht="16.2" thickBot="1" x14ac:dyDescent="0.35">
      <c r="A105" s="34">
        <v>92</v>
      </c>
      <c r="B105" s="15" t="s">
        <v>70</v>
      </c>
      <c r="C105" s="97">
        <v>750</v>
      </c>
      <c r="D105" s="283" t="s">
        <v>12</v>
      </c>
      <c r="E105" s="296"/>
      <c r="F105" s="284"/>
      <c r="G105" s="158"/>
      <c r="H105" s="141"/>
      <c r="I105" s="158"/>
      <c r="J105" s="141"/>
      <c r="K105" s="158"/>
      <c r="L105" s="141"/>
      <c r="M105" s="159"/>
      <c r="N105" s="164"/>
      <c r="O105" s="154"/>
      <c r="P105" s="154"/>
      <c r="Q105" s="154"/>
      <c r="R105" s="154"/>
      <c r="S105" s="154"/>
      <c r="T105" s="154"/>
      <c r="U105" s="154"/>
      <c r="V105" s="154"/>
      <c r="W105" s="154"/>
      <c r="X105" s="154"/>
      <c r="Y105" s="154"/>
      <c r="Z105" s="154"/>
      <c r="AA105" s="154"/>
      <c r="AB105" s="154"/>
      <c r="AC105" s="154"/>
      <c r="AD105" s="154"/>
      <c r="AE105" s="154"/>
      <c r="AF105" s="154"/>
      <c r="AG105" s="154"/>
      <c r="AH105" s="154"/>
      <c r="AI105" s="154"/>
      <c r="AJ105" s="154"/>
      <c r="AK105" s="154"/>
      <c r="AL105" s="154"/>
      <c r="AM105" s="154"/>
      <c r="AN105" s="154"/>
      <c r="AO105" s="154"/>
      <c r="AP105" s="154"/>
      <c r="AQ105" s="154"/>
      <c r="AR105" s="98">
        <f t="shared" si="10"/>
        <v>0</v>
      </c>
      <c r="AS105" s="153"/>
    </row>
    <row r="106" spans="1:46" ht="16.2" thickBot="1" x14ac:dyDescent="0.35">
      <c r="A106" s="34">
        <v>93</v>
      </c>
      <c r="B106" s="16" t="s">
        <v>71</v>
      </c>
      <c r="C106" s="97">
        <v>750</v>
      </c>
      <c r="D106" s="283" t="s">
        <v>12</v>
      </c>
      <c r="E106" s="296"/>
      <c r="F106" s="284"/>
      <c r="G106" s="158"/>
      <c r="H106" s="141"/>
      <c r="I106" s="158"/>
      <c r="J106" s="141"/>
      <c r="K106" s="158"/>
      <c r="L106" s="141"/>
      <c r="M106" s="159"/>
      <c r="N106" s="164"/>
      <c r="O106" s="154"/>
      <c r="P106" s="154"/>
      <c r="Q106" s="154"/>
      <c r="R106" s="154"/>
      <c r="S106" s="154"/>
      <c r="T106" s="154"/>
      <c r="U106" s="154"/>
      <c r="V106" s="154"/>
      <c r="W106" s="154"/>
      <c r="X106" s="154"/>
      <c r="Y106" s="154"/>
      <c r="Z106" s="154"/>
      <c r="AA106" s="154"/>
      <c r="AB106" s="154"/>
      <c r="AC106" s="154"/>
      <c r="AD106" s="154"/>
      <c r="AE106" s="154"/>
      <c r="AF106" s="154"/>
      <c r="AG106" s="154"/>
      <c r="AH106" s="154"/>
      <c r="AI106" s="154"/>
      <c r="AJ106" s="154"/>
      <c r="AK106" s="154"/>
      <c r="AL106" s="154"/>
      <c r="AM106" s="154"/>
      <c r="AN106" s="154"/>
      <c r="AO106" s="154"/>
      <c r="AP106" s="154"/>
      <c r="AQ106" s="154"/>
      <c r="AR106" s="98">
        <f t="shared" si="10"/>
        <v>0</v>
      </c>
      <c r="AS106" s="153"/>
    </row>
    <row r="107" spans="1:46" ht="16.2" thickBot="1" x14ac:dyDescent="0.35">
      <c r="A107" s="34">
        <v>94</v>
      </c>
      <c r="B107" s="17" t="s">
        <v>72</v>
      </c>
      <c r="C107" s="97">
        <v>750</v>
      </c>
      <c r="D107" s="283" t="s">
        <v>12</v>
      </c>
      <c r="E107" s="296"/>
      <c r="F107" s="284"/>
      <c r="G107" s="158"/>
      <c r="H107" s="141"/>
      <c r="I107" s="158"/>
      <c r="J107" s="141"/>
      <c r="K107" s="158"/>
      <c r="L107" s="141"/>
      <c r="M107" s="159"/>
      <c r="N107" s="164"/>
      <c r="O107" s="154"/>
      <c r="P107" s="154"/>
      <c r="Q107" s="154"/>
      <c r="R107" s="154"/>
      <c r="S107" s="154"/>
      <c r="T107" s="154"/>
      <c r="U107" s="154"/>
      <c r="V107" s="154"/>
      <c r="W107" s="154"/>
      <c r="X107" s="154"/>
      <c r="Y107" s="154"/>
      <c r="Z107" s="154"/>
      <c r="AA107" s="154"/>
      <c r="AB107" s="154"/>
      <c r="AC107" s="154"/>
      <c r="AD107" s="154"/>
      <c r="AE107" s="154"/>
      <c r="AF107" s="154"/>
      <c r="AG107" s="154"/>
      <c r="AH107" s="154"/>
      <c r="AI107" s="154"/>
      <c r="AJ107" s="154"/>
      <c r="AK107" s="154"/>
      <c r="AL107" s="154"/>
      <c r="AM107" s="154"/>
      <c r="AN107" s="154"/>
      <c r="AO107" s="154"/>
      <c r="AP107" s="154"/>
      <c r="AQ107" s="154"/>
      <c r="AR107" s="98">
        <f t="shared" si="10"/>
        <v>0</v>
      </c>
      <c r="AS107" s="153"/>
    </row>
    <row r="108" spans="1:46" ht="16.2" thickBot="1" x14ac:dyDescent="0.35">
      <c r="A108" s="34">
        <v>95</v>
      </c>
      <c r="B108" s="18" t="s">
        <v>52</v>
      </c>
      <c r="C108" s="97">
        <v>100</v>
      </c>
      <c r="D108" s="283" t="s">
        <v>56</v>
      </c>
      <c r="E108" s="296"/>
      <c r="F108" s="284"/>
      <c r="G108" s="158"/>
      <c r="H108" s="141"/>
      <c r="I108" s="158"/>
      <c r="J108" s="141"/>
      <c r="K108" s="158"/>
      <c r="L108" s="141"/>
      <c r="M108" s="159"/>
      <c r="N108" s="164"/>
      <c r="O108" s="154"/>
      <c r="P108" s="154"/>
      <c r="Q108" s="154"/>
      <c r="R108" s="154"/>
      <c r="S108" s="154"/>
      <c r="T108" s="154"/>
      <c r="U108" s="154"/>
      <c r="V108" s="154"/>
      <c r="W108" s="154"/>
      <c r="X108" s="154"/>
      <c r="Y108" s="154"/>
      <c r="Z108" s="154"/>
      <c r="AA108" s="154"/>
      <c r="AB108" s="154"/>
      <c r="AC108" s="154"/>
      <c r="AD108" s="154"/>
      <c r="AE108" s="154"/>
      <c r="AF108" s="154"/>
      <c r="AG108" s="154"/>
      <c r="AH108" s="154"/>
      <c r="AI108" s="154"/>
      <c r="AJ108" s="154"/>
      <c r="AK108" s="154"/>
      <c r="AL108" s="154"/>
      <c r="AM108" s="154"/>
      <c r="AN108" s="154"/>
      <c r="AO108" s="154"/>
      <c r="AP108" s="154"/>
      <c r="AQ108" s="154"/>
      <c r="AR108" s="98">
        <f t="shared" si="10"/>
        <v>0</v>
      </c>
      <c r="AS108" s="153"/>
    </row>
    <row r="109" spans="1:46" ht="16.2" thickBot="1" x14ac:dyDescent="0.35">
      <c r="A109" s="34">
        <v>96</v>
      </c>
      <c r="B109" s="15" t="s">
        <v>53</v>
      </c>
      <c r="C109" s="97">
        <v>100</v>
      </c>
      <c r="D109" s="283" t="s">
        <v>56</v>
      </c>
      <c r="E109" s="296"/>
      <c r="F109" s="284"/>
      <c r="G109" s="158"/>
      <c r="H109" s="141"/>
      <c r="I109" s="158"/>
      <c r="J109" s="141"/>
      <c r="K109" s="158"/>
      <c r="L109" s="141"/>
      <c r="M109" s="159"/>
      <c r="N109" s="164"/>
      <c r="O109" s="154"/>
      <c r="P109" s="154"/>
      <c r="Q109" s="154"/>
      <c r="R109" s="154"/>
      <c r="S109" s="154"/>
      <c r="T109" s="154"/>
      <c r="U109" s="154"/>
      <c r="V109" s="154"/>
      <c r="W109" s="154"/>
      <c r="X109" s="154"/>
      <c r="Y109" s="154"/>
      <c r="Z109" s="154"/>
      <c r="AA109" s="154"/>
      <c r="AB109" s="154"/>
      <c r="AC109" s="154"/>
      <c r="AD109" s="154"/>
      <c r="AE109" s="154"/>
      <c r="AF109" s="154"/>
      <c r="AG109" s="154"/>
      <c r="AH109" s="154"/>
      <c r="AI109" s="154"/>
      <c r="AJ109" s="154"/>
      <c r="AK109" s="154"/>
      <c r="AL109" s="154"/>
      <c r="AM109" s="154"/>
      <c r="AN109" s="154"/>
      <c r="AO109" s="154"/>
      <c r="AP109" s="154"/>
      <c r="AQ109" s="154"/>
      <c r="AR109" s="98">
        <v>0</v>
      </c>
      <c r="AS109" s="153"/>
    </row>
    <row r="110" spans="1:46" ht="16.2" thickBot="1" x14ac:dyDescent="0.35">
      <c r="A110" s="34">
        <v>97</v>
      </c>
      <c r="B110" s="16" t="s">
        <v>54</v>
      </c>
      <c r="C110" s="97">
        <v>100</v>
      </c>
      <c r="D110" s="283" t="s">
        <v>56</v>
      </c>
      <c r="E110" s="296"/>
      <c r="F110" s="284"/>
      <c r="G110" s="158"/>
      <c r="H110" s="141"/>
      <c r="I110" s="158"/>
      <c r="J110" s="141"/>
      <c r="K110" s="158"/>
      <c r="L110" s="141"/>
      <c r="M110" s="159"/>
      <c r="N110" s="164"/>
      <c r="O110" s="154"/>
      <c r="P110" s="154"/>
      <c r="Q110" s="154"/>
      <c r="R110" s="154"/>
      <c r="S110" s="154"/>
      <c r="T110" s="154"/>
      <c r="U110" s="154"/>
      <c r="V110" s="154"/>
      <c r="W110" s="154"/>
      <c r="X110" s="154"/>
      <c r="Y110" s="154"/>
      <c r="Z110" s="154"/>
      <c r="AA110" s="154"/>
      <c r="AB110" s="154"/>
      <c r="AC110" s="154"/>
      <c r="AD110" s="154"/>
      <c r="AE110" s="154"/>
      <c r="AF110" s="154"/>
      <c r="AG110" s="154"/>
      <c r="AH110" s="154"/>
      <c r="AI110" s="154"/>
      <c r="AJ110" s="154"/>
      <c r="AK110" s="154"/>
      <c r="AL110" s="154"/>
      <c r="AM110" s="154"/>
      <c r="AN110" s="154"/>
      <c r="AO110" s="154"/>
      <c r="AP110" s="154"/>
      <c r="AQ110" s="154"/>
      <c r="AR110" s="98">
        <f t="shared" si="10"/>
        <v>0</v>
      </c>
      <c r="AS110" s="153"/>
    </row>
    <row r="111" spans="1:46" ht="16.2" thickBot="1" x14ac:dyDescent="0.35">
      <c r="A111" s="34">
        <v>98</v>
      </c>
      <c r="B111" s="17" t="s">
        <v>55</v>
      </c>
      <c r="C111" s="97">
        <v>100</v>
      </c>
      <c r="D111" s="283" t="s">
        <v>56</v>
      </c>
      <c r="E111" s="296"/>
      <c r="F111" s="284"/>
      <c r="G111" s="158"/>
      <c r="H111" s="141"/>
      <c r="I111" s="158"/>
      <c r="J111" s="141"/>
      <c r="K111" s="158"/>
      <c r="L111" s="141"/>
      <c r="M111" s="159"/>
      <c r="N111" s="164"/>
      <c r="O111" s="154"/>
      <c r="P111" s="154"/>
      <c r="Q111" s="154"/>
      <c r="R111" s="154"/>
      <c r="S111" s="154"/>
      <c r="T111" s="154"/>
      <c r="U111" s="154"/>
      <c r="V111" s="154"/>
      <c r="W111" s="154"/>
      <c r="X111" s="154"/>
      <c r="Y111" s="154"/>
      <c r="Z111" s="154"/>
      <c r="AA111" s="154"/>
      <c r="AB111" s="154"/>
      <c r="AC111" s="154"/>
      <c r="AD111" s="154"/>
      <c r="AE111" s="154"/>
      <c r="AF111" s="154"/>
      <c r="AG111" s="154"/>
      <c r="AH111" s="154"/>
      <c r="AI111" s="154"/>
      <c r="AJ111" s="154"/>
      <c r="AK111" s="154"/>
      <c r="AL111" s="154"/>
      <c r="AM111" s="154"/>
      <c r="AN111" s="154"/>
      <c r="AO111" s="154"/>
      <c r="AP111" s="154"/>
      <c r="AQ111" s="154"/>
      <c r="AR111" s="98">
        <f t="shared" si="10"/>
        <v>0</v>
      </c>
      <c r="AS111" s="153"/>
    </row>
    <row r="112" spans="1:46" ht="16.2" thickBot="1" x14ac:dyDescent="0.35">
      <c r="A112" s="34">
        <v>99</v>
      </c>
      <c r="B112" s="8"/>
      <c r="C112" s="104"/>
      <c r="D112" s="283"/>
      <c r="E112" s="296"/>
      <c r="F112" s="284"/>
      <c r="G112" s="158"/>
      <c r="H112" s="141"/>
      <c r="I112" s="158"/>
      <c r="J112" s="141"/>
      <c r="K112" s="158"/>
      <c r="L112" s="141"/>
      <c r="M112" s="159"/>
      <c r="N112" s="164"/>
      <c r="O112" s="154"/>
      <c r="P112" s="154"/>
      <c r="Q112" s="154"/>
      <c r="R112" s="154"/>
      <c r="S112" s="154"/>
      <c r="T112" s="154"/>
      <c r="U112" s="154"/>
      <c r="V112" s="154"/>
      <c r="W112" s="154"/>
      <c r="X112" s="154"/>
      <c r="Y112" s="154"/>
      <c r="Z112" s="154"/>
      <c r="AA112" s="154"/>
      <c r="AB112" s="154"/>
      <c r="AC112" s="154"/>
      <c r="AD112" s="154"/>
      <c r="AE112" s="154"/>
      <c r="AF112" s="154"/>
      <c r="AG112" s="154"/>
      <c r="AH112" s="154"/>
      <c r="AI112" s="154"/>
      <c r="AJ112" s="154"/>
      <c r="AK112" s="154"/>
      <c r="AL112" s="154"/>
      <c r="AM112" s="154"/>
      <c r="AN112" s="154"/>
      <c r="AO112" s="154"/>
      <c r="AP112" s="154"/>
      <c r="AQ112" s="154"/>
      <c r="AR112" s="98">
        <f t="shared" si="10"/>
        <v>0</v>
      </c>
      <c r="AS112" s="153"/>
    </row>
    <row r="113" spans="1:45" ht="16.2" thickBot="1" x14ac:dyDescent="0.35">
      <c r="A113" s="34">
        <v>100</v>
      </c>
      <c r="B113" s="11"/>
      <c r="C113" s="101"/>
      <c r="D113" s="166"/>
      <c r="E113" s="297"/>
      <c r="F113" s="298"/>
      <c r="G113" s="299"/>
      <c r="H113" s="300"/>
      <c r="I113" s="299"/>
      <c r="J113" s="300"/>
      <c r="K113" s="299"/>
      <c r="L113" s="300"/>
      <c r="M113" s="301"/>
      <c r="N113" s="302"/>
      <c r="O113" s="303"/>
      <c r="P113" s="303"/>
      <c r="Q113" s="303"/>
      <c r="R113" s="303"/>
      <c r="S113" s="303"/>
      <c r="T113" s="303"/>
      <c r="U113" s="303"/>
      <c r="V113" s="303"/>
      <c r="W113" s="303"/>
      <c r="X113" s="303"/>
      <c r="Y113" s="303"/>
      <c r="Z113" s="303"/>
      <c r="AA113" s="303"/>
      <c r="AB113" s="303"/>
      <c r="AC113" s="303"/>
      <c r="AD113" s="303"/>
      <c r="AE113" s="303"/>
      <c r="AF113" s="303"/>
      <c r="AG113" s="303"/>
      <c r="AH113" s="303"/>
      <c r="AI113" s="303"/>
      <c r="AJ113" s="303"/>
      <c r="AK113" s="303"/>
      <c r="AL113" s="303"/>
      <c r="AM113" s="303"/>
      <c r="AN113" s="303"/>
      <c r="AO113" s="303"/>
      <c r="AP113" s="303"/>
      <c r="AQ113" s="303"/>
      <c r="AR113" s="99">
        <f t="shared" si="10"/>
        <v>0</v>
      </c>
      <c r="AS113" s="304"/>
    </row>
    <row r="114" spans="1:45" ht="16.2" thickBot="1" x14ac:dyDescent="0.35">
      <c r="A114" s="33"/>
      <c r="B114" s="329" t="s">
        <v>137</v>
      </c>
      <c r="C114" s="329"/>
      <c r="D114" s="329"/>
      <c r="E114" s="329"/>
      <c r="F114" s="329"/>
      <c r="G114" s="329"/>
      <c r="H114" s="329"/>
      <c r="I114" s="329"/>
      <c r="J114" s="329"/>
      <c r="K114" s="329"/>
      <c r="L114" s="329"/>
      <c r="M114" s="329"/>
      <c r="N114" s="329"/>
      <c r="O114" s="329"/>
      <c r="P114" s="329"/>
      <c r="Q114" s="329"/>
      <c r="R114" s="329"/>
      <c r="S114" s="329"/>
      <c r="T114" s="329"/>
      <c r="U114" s="329"/>
      <c r="V114" s="329"/>
      <c r="W114" s="329"/>
      <c r="X114" s="329"/>
      <c r="Y114" s="329"/>
      <c r="Z114" s="329"/>
      <c r="AA114" s="329"/>
      <c r="AB114" s="329"/>
      <c r="AC114" s="329"/>
      <c r="AD114" s="329"/>
      <c r="AE114" s="329"/>
      <c r="AF114" s="329"/>
      <c r="AG114" s="329"/>
      <c r="AH114" s="329"/>
      <c r="AI114" s="329"/>
      <c r="AJ114" s="329"/>
      <c r="AK114" s="329"/>
      <c r="AL114" s="329"/>
      <c r="AM114" s="329"/>
      <c r="AN114" s="329"/>
      <c r="AO114" s="329"/>
      <c r="AP114" s="329"/>
      <c r="AQ114" s="329"/>
      <c r="AR114" s="329"/>
    </row>
    <row r="115" spans="1:45" ht="16.2" thickBot="1" x14ac:dyDescent="0.35">
      <c r="A115" s="13">
        <v>101</v>
      </c>
      <c r="B115" s="88" t="s">
        <v>138</v>
      </c>
      <c r="C115" s="107"/>
      <c r="D115" s="176"/>
      <c r="E115" s="230"/>
      <c r="F115" s="305"/>
      <c r="G115" s="306"/>
      <c r="H115" s="181"/>
      <c r="I115" s="276"/>
      <c r="J115" s="181"/>
      <c r="K115" s="276"/>
      <c r="L115" s="181"/>
      <c r="M115" s="182"/>
      <c r="N115" s="277"/>
      <c r="O115" s="278"/>
      <c r="P115" s="278"/>
      <c r="Q115" s="278"/>
      <c r="R115" s="278"/>
      <c r="S115" s="278"/>
      <c r="T115" s="278"/>
      <c r="U115" s="278"/>
      <c r="V115" s="278"/>
      <c r="W115" s="278"/>
      <c r="X115" s="278"/>
      <c r="Y115" s="278"/>
      <c r="Z115" s="278"/>
      <c r="AA115" s="278"/>
      <c r="AB115" s="278"/>
      <c r="AC115" s="278"/>
      <c r="AD115" s="278"/>
      <c r="AE115" s="278"/>
      <c r="AF115" s="278"/>
      <c r="AG115" s="278"/>
      <c r="AH115" s="278"/>
      <c r="AI115" s="278"/>
      <c r="AJ115" s="278"/>
      <c r="AK115" s="278"/>
      <c r="AL115" s="278"/>
      <c r="AM115" s="278"/>
      <c r="AN115" s="278"/>
      <c r="AO115" s="278"/>
      <c r="AP115" s="278"/>
      <c r="AQ115" s="278"/>
      <c r="AR115" s="307">
        <f>SUM(E115,G115,I115,K115,M115,-N115,-P115,-R115,-T115,-V115,-X115,-Z115,-AB115,-AD115,-AF115,-AP115,-AH115,-AJ115,-AL115,-AN115)</f>
        <v>0</v>
      </c>
      <c r="AS115" s="308">
        <v>1</v>
      </c>
    </row>
    <row r="116" spans="1:45" ht="16.2" thickBot="1" x14ac:dyDescent="0.35">
      <c r="A116" s="13">
        <v>102</v>
      </c>
      <c r="B116" s="8" t="s">
        <v>153</v>
      </c>
      <c r="C116" s="98" t="s">
        <v>154</v>
      </c>
      <c r="D116" s="104" t="s">
        <v>156</v>
      </c>
      <c r="E116" s="195"/>
      <c r="F116" s="253"/>
      <c r="G116" s="254"/>
      <c r="H116" s="190"/>
      <c r="I116" s="254"/>
      <c r="J116" s="190"/>
      <c r="K116" s="254"/>
      <c r="L116" s="190"/>
      <c r="M116" s="191"/>
      <c r="N116" s="280"/>
      <c r="O116" s="121"/>
      <c r="P116" s="121"/>
      <c r="Q116" s="121"/>
      <c r="R116" s="121"/>
      <c r="S116" s="121"/>
      <c r="T116" s="121"/>
      <c r="U116" s="121"/>
      <c r="V116" s="121"/>
      <c r="W116" s="121"/>
      <c r="X116" s="121"/>
      <c r="Y116" s="121"/>
      <c r="Z116" s="121"/>
      <c r="AA116" s="121"/>
      <c r="AB116" s="121"/>
      <c r="AC116" s="121"/>
      <c r="AD116" s="121"/>
      <c r="AE116" s="121"/>
      <c r="AF116" s="121"/>
      <c r="AG116" s="121"/>
      <c r="AH116" s="121"/>
      <c r="AI116" s="121"/>
      <c r="AJ116" s="121"/>
      <c r="AK116" s="121"/>
      <c r="AL116" s="121"/>
      <c r="AM116" s="121"/>
      <c r="AN116" s="121"/>
      <c r="AO116" s="121"/>
      <c r="AP116" s="121"/>
      <c r="AQ116" s="121"/>
      <c r="AR116" s="288">
        <f t="shared" ref="AR116:AR122" si="11">SUM(E116,G116,I116,K116,M116,-N116,-P116,-R116,-T116,-V116,-X116,-Z116,-AB116,-AD116,-AF116,-AP116,-AH116,-AJ116,-AL116,-AN116)</f>
        <v>0</v>
      </c>
      <c r="AS116" s="308">
        <v>1</v>
      </c>
    </row>
    <row r="117" spans="1:45" ht="16.2" thickBot="1" x14ac:dyDescent="0.35">
      <c r="A117" s="37">
        <v>103</v>
      </c>
      <c r="B117" s="8" t="s">
        <v>155</v>
      </c>
      <c r="C117" s="98"/>
      <c r="D117" s="283"/>
      <c r="E117" s="195"/>
      <c r="F117" s="284"/>
      <c r="G117" s="158"/>
      <c r="H117" s="141"/>
      <c r="I117" s="158"/>
      <c r="J117" s="141"/>
      <c r="K117" s="158"/>
      <c r="L117" s="141"/>
      <c r="M117" s="159"/>
      <c r="N117" s="164"/>
      <c r="O117" s="154"/>
      <c r="P117" s="154"/>
      <c r="Q117" s="154"/>
      <c r="R117" s="154"/>
      <c r="S117" s="154"/>
      <c r="T117" s="154"/>
      <c r="U117" s="154"/>
      <c r="V117" s="154"/>
      <c r="W117" s="154"/>
      <c r="X117" s="154"/>
      <c r="Y117" s="154"/>
      <c r="Z117" s="154"/>
      <c r="AA117" s="154"/>
      <c r="AB117" s="154"/>
      <c r="AC117" s="154"/>
      <c r="AD117" s="154"/>
      <c r="AE117" s="154"/>
      <c r="AF117" s="154"/>
      <c r="AG117" s="154"/>
      <c r="AH117" s="154"/>
      <c r="AI117" s="154"/>
      <c r="AJ117" s="154"/>
      <c r="AK117" s="154"/>
      <c r="AL117" s="154"/>
      <c r="AM117" s="154"/>
      <c r="AN117" s="154"/>
      <c r="AO117" s="154"/>
      <c r="AP117" s="154"/>
      <c r="AQ117" s="154"/>
      <c r="AR117" s="288">
        <f t="shared" si="11"/>
        <v>0</v>
      </c>
      <c r="AS117" s="308">
        <v>2</v>
      </c>
    </row>
    <row r="118" spans="1:45" ht="16.2" thickBot="1" x14ac:dyDescent="0.35">
      <c r="A118" s="37">
        <v>104</v>
      </c>
      <c r="B118" s="8" t="s">
        <v>204</v>
      </c>
      <c r="C118" s="97">
        <v>150</v>
      </c>
      <c r="D118" s="104" t="s">
        <v>156</v>
      </c>
      <c r="E118" s="186"/>
      <c r="F118" s="187"/>
      <c r="G118" s="188"/>
      <c r="H118" s="189"/>
      <c r="I118" s="188"/>
      <c r="J118" s="189"/>
      <c r="K118" s="188"/>
      <c r="L118" s="190"/>
      <c r="M118" s="191"/>
      <c r="N118" s="261"/>
      <c r="O118" s="262"/>
      <c r="P118" s="262"/>
      <c r="Q118" s="262"/>
      <c r="R118" s="262"/>
      <c r="S118" s="262"/>
      <c r="T118" s="262"/>
      <c r="U118" s="262"/>
      <c r="V118" s="262"/>
      <c r="W118" s="262"/>
      <c r="X118" s="262"/>
      <c r="Y118" s="262"/>
      <c r="Z118" s="262"/>
      <c r="AA118" s="262"/>
      <c r="AB118" s="262"/>
      <c r="AC118" s="262"/>
      <c r="AD118" s="262"/>
      <c r="AE118" s="262"/>
      <c r="AF118" s="262"/>
      <c r="AG118" s="262"/>
      <c r="AH118" s="262"/>
      <c r="AI118" s="262"/>
      <c r="AJ118" s="262"/>
      <c r="AK118" s="262"/>
      <c r="AL118" s="262"/>
      <c r="AM118" s="262"/>
      <c r="AN118" s="262"/>
      <c r="AO118" s="262"/>
      <c r="AP118" s="262"/>
      <c r="AQ118" s="262"/>
      <c r="AR118" s="288">
        <f t="shared" si="11"/>
        <v>0</v>
      </c>
      <c r="AS118" s="308">
        <v>0</v>
      </c>
    </row>
    <row r="119" spans="1:45" ht="16.2" thickBot="1" x14ac:dyDescent="0.35">
      <c r="A119" s="37">
        <v>105</v>
      </c>
      <c r="B119" s="8" t="s">
        <v>158</v>
      </c>
      <c r="C119" s="98"/>
      <c r="D119" s="104"/>
      <c r="E119" s="195"/>
      <c r="F119" s="253"/>
      <c r="G119" s="254"/>
      <c r="H119" s="190"/>
      <c r="I119" s="254"/>
      <c r="J119" s="190"/>
      <c r="K119" s="254"/>
      <c r="L119" s="190"/>
      <c r="M119" s="191"/>
      <c r="N119" s="192"/>
      <c r="O119" s="193"/>
      <c r="P119" s="193"/>
      <c r="Q119" s="193"/>
      <c r="R119" s="193"/>
      <c r="S119" s="193"/>
      <c r="T119" s="193"/>
      <c r="U119" s="193"/>
      <c r="V119" s="193"/>
      <c r="W119" s="193"/>
      <c r="X119" s="193"/>
      <c r="Y119" s="193"/>
      <c r="Z119" s="193"/>
      <c r="AA119" s="193"/>
      <c r="AB119" s="193"/>
      <c r="AC119" s="193"/>
      <c r="AD119" s="193"/>
      <c r="AE119" s="193"/>
      <c r="AF119" s="193"/>
      <c r="AG119" s="193"/>
      <c r="AH119" s="193"/>
      <c r="AI119" s="193"/>
      <c r="AJ119" s="193"/>
      <c r="AK119" s="193"/>
      <c r="AL119" s="193"/>
      <c r="AM119" s="193"/>
      <c r="AN119" s="193"/>
      <c r="AO119" s="193"/>
      <c r="AP119" s="193"/>
      <c r="AQ119" s="193"/>
      <c r="AR119" s="288"/>
      <c r="AS119" s="308">
        <v>4</v>
      </c>
    </row>
    <row r="120" spans="1:45" ht="16.2" thickBot="1" x14ac:dyDescent="0.35">
      <c r="A120" s="80">
        <v>106</v>
      </c>
      <c r="B120" s="30" t="s">
        <v>171</v>
      </c>
      <c r="C120" s="110">
        <v>150</v>
      </c>
      <c r="D120" s="104"/>
      <c r="E120" s="286"/>
      <c r="F120" s="253"/>
      <c r="G120" s="254"/>
      <c r="H120" s="190"/>
      <c r="I120" s="254"/>
      <c r="J120" s="190"/>
      <c r="K120" s="254"/>
      <c r="L120" s="190"/>
      <c r="M120" s="191"/>
      <c r="N120" s="280"/>
      <c r="O120" s="121"/>
      <c r="P120" s="121"/>
      <c r="Q120" s="121"/>
      <c r="R120" s="121"/>
      <c r="S120" s="121"/>
      <c r="T120" s="121"/>
      <c r="U120" s="121"/>
      <c r="V120" s="121"/>
      <c r="W120" s="121"/>
      <c r="X120" s="121"/>
      <c r="Y120" s="121"/>
      <c r="Z120" s="121"/>
      <c r="AA120" s="121"/>
      <c r="AB120" s="121"/>
      <c r="AC120" s="121"/>
      <c r="AD120" s="121"/>
      <c r="AE120" s="121"/>
      <c r="AF120" s="121"/>
      <c r="AG120" s="121"/>
      <c r="AH120" s="121"/>
      <c r="AI120" s="121"/>
      <c r="AJ120" s="121"/>
      <c r="AK120" s="121"/>
      <c r="AL120" s="121"/>
      <c r="AM120" s="121"/>
      <c r="AN120" s="121"/>
      <c r="AO120" s="121"/>
      <c r="AP120" s="121"/>
      <c r="AQ120" s="121"/>
      <c r="AR120" s="286">
        <f t="shared" si="11"/>
        <v>0</v>
      </c>
      <c r="AS120" s="308">
        <v>0</v>
      </c>
    </row>
    <row r="121" spans="1:45" ht="16.2" thickBot="1" x14ac:dyDescent="0.35">
      <c r="A121" s="80">
        <v>107</v>
      </c>
      <c r="B121" s="28" t="s">
        <v>173</v>
      </c>
      <c r="C121" s="111">
        <v>1200</v>
      </c>
      <c r="D121" s="104" t="s">
        <v>81</v>
      </c>
      <c r="E121" s="286"/>
      <c r="F121" s="253"/>
      <c r="G121" s="254"/>
      <c r="H121" s="190"/>
      <c r="I121" s="254"/>
      <c r="J121" s="190"/>
      <c r="K121" s="254"/>
      <c r="L121" s="190"/>
      <c r="M121" s="191"/>
      <c r="N121" s="280"/>
      <c r="O121" s="121"/>
      <c r="P121" s="121"/>
      <c r="Q121" s="121"/>
      <c r="R121" s="121"/>
      <c r="S121" s="121"/>
      <c r="T121" s="121"/>
      <c r="U121" s="121"/>
      <c r="V121" s="121"/>
      <c r="W121" s="121"/>
      <c r="X121" s="121"/>
      <c r="Y121" s="121"/>
      <c r="Z121" s="121"/>
      <c r="AA121" s="121"/>
      <c r="AB121" s="121"/>
      <c r="AC121" s="121"/>
      <c r="AD121" s="121"/>
      <c r="AE121" s="121"/>
      <c r="AF121" s="121"/>
      <c r="AG121" s="121"/>
      <c r="AH121" s="121"/>
      <c r="AI121" s="121"/>
      <c r="AJ121" s="121"/>
      <c r="AK121" s="121"/>
      <c r="AL121" s="121"/>
      <c r="AM121" s="121"/>
      <c r="AN121" s="121"/>
      <c r="AO121" s="121"/>
      <c r="AP121" s="121"/>
      <c r="AQ121" s="121"/>
      <c r="AR121" s="286">
        <f t="shared" si="11"/>
        <v>0</v>
      </c>
      <c r="AS121" s="308">
        <v>2</v>
      </c>
    </row>
    <row r="122" spans="1:45" ht="16.2" thickBot="1" x14ac:dyDescent="0.35">
      <c r="A122" s="80">
        <v>108</v>
      </c>
      <c r="B122" s="30" t="s">
        <v>174</v>
      </c>
      <c r="C122" s="110">
        <v>890</v>
      </c>
      <c r="D122" s="104"/>
      <c r="E122" s="296"/>
      <c r="F122" s="284"/>
      <c r="G122" s="158"/>
      <c r="H122" s="141"/>
      <c r="I122" s="158"/>
      <c r="J122" s="141"/>
      <c r="K122" s="158"/>
      <c r="L122" s="141"/>
      <c r="M122" s="159"/>
      <c r="N122" s="164"/>
      <c r="O122" s="154"/>
      <c r="P122" s="154"/>
      <c r="Q122" s="154"/>
      <c r="R122" s="154"/>
      <c r="S122" s="154"/>
      <c r="T122" s="154"/>
      <c r="U122" s="154"/>
      <c r="V122" s="154"/>
      <c r="W122" s="154"/>
      <c r="X122" s="154"/>
      <c r="Y122" s="154"/>
      <c r="Z122" s="154"/>
      <c r="AA122" s="154"/>
      <c r="AB122" s="154"/>
      <c r="AC122" s="154"/>
      <c r="AD122" s="154"/>
      <c r="AE122" s="154"/>
      <c r="AF122" s="154"/>
      <c r="AG122" s="154"/>
      <c r="AH122" s="154"/>
      <c r="AI122" s="154"/>
      <c r="AJ122" s="154"/>
      <c r="AK122" s="154"/>
      <c r="AL122" s="154"/>
      <c r="AM122" s="154"/>
      <c r="AN122" s="154"/>
      <c r="AO122" s="154"/>
      <c r="AP122" s="154"/>
      <c r="AQ122" s="154"/>
      <c r="AR122" s="309">
        <f t="shared" si="11"/>
        <v>0</v>
      </c>
      <c r="AS122" s="310">
        <v>4</v>
      </c>
    </row>
    <row r="123" spans="1:45" ht="16.2" thickBot="1" x14ac:dyDescent="0.35">
      <c r="A123" s="80">
        <v>109</v>
      </c>
      <c r="B123" s="30" t="s">
        <v>182</v>
      </c>
      <c r="C123" s="110">
        <v>3500</v>
      </c>
      <c r="D123" s="104" t="s">
        <v>11</v>
      </c>
      <c r="E123" s="296"/>
      <c r="F123" s="284"/>
      <c r="G123" s="158"/>
      <c r="H123" s="141"/>
      <c r="I123" s="158"/>
      <c r="J123" s="141"/>
      <c r="K123" s="158"/>
      <c r="L123" s="141"/>
      <c r="M123" s="159"/>
      <c r="N123" s="164"/>
      <c r="O123" s="154"/>
      <c r="P123" s="154"/>
      <c r="Q123" s="154"/>
      <c r="R123" s="154"/>
      <c r="S123" s="154"/>
      <c r="T123" s="154"/>
      <c r="U123" s="154"/>
      <c r="V123" s="154"/>
      <c r="W123" s="154"/>
      <c r="X123" s="154"/>
      <c r="Y123" s="154"/>
      <c r="Z123" s="154"/>
      <c r="AA123" s="154"/>
      <c r="AB123" s="154"/>
      <c r="AC123" s="154"/>
      <c r="AD123" s="154"/>
      <c r="AE123" s="154"/>
      <c r="AF123" s="154"/>
      <c r="AG123" s="154"/>
      <c r="AH123" s="154"/>
      <c r="AI123" s="154"/>
      <c r="AJ123" s="154"/>
      <c r="AK123" s="154"/>
      <c r="AL123" s="154"/>
      <c r="AM123" s="154"/>
      <c r="AN123" s="154"/>
      <c r="AO123" s="154"/>
      <c r="AP123" s="154"/>
      <c r="AQ123" s="154"/>
      <c r="AR123" s="309">
        <f t="shared" ref="AR123" si="12">SUM(E123,G123,I123,K123,M123,-N123,-P123,-R123,-T123,-V123,-X123,-Z123,-AB123,-AD123,-AF123,-AP123,-AH123,-AJ123,-AL123,-AN123)</f>
        <v>0</v>
      </c>
      <c r="AS123" s="310">
        <v>1</v>
      </c>
    </row>
    <row r="124" spans="1:45" ht="16.2" thickBot="1" x14ac:dyDescent="0.35">
      <c r="A124" s="80">
        <v>110</v>
      </c>
      <c r="B124" s="30" t="s">
        <v>183</v>
      </c>
      <c r="C124" s="110">
        <v>1200</v>
      </c>
      <c r="D124" s="104" t="s">
        <v>11</v>
      </c>
      <c r="E124" s="296"/>
      <c r="F124" s="284"/>
      <c r="G124" s="158"/>
      <c r="H124" s="141"/>
      <c r="I124" s="158"/>
      <c r="J124" s="141"/>
      <c r="K124" s="158"/>
      <c r="L124" s="141"/>
      <c r="M124" s="159"/>
      <c r="N124" s="164"/>
      <c r="O124" s="154"/>
      <c r="P124" s="154"/>
      <c r="Q124" s="154"/>
      <c r="R124" s="154"/>
      <c r="S124" s="154"/>
      <c r="T124" s="154"/>
      <c r="U124" s="154"/>
      <c r="V124" s="154"/>
      <c r="W124" s="154"/>
      <c r="X124" s="154"/>
      <c r="Y124" s="154"/>
      <c r="Z124" s="154"/>
      <c r="AA124" s="154"/>
      <c r="AB124" s="154"/>
      <c r="AC124" s="154"/>
      <c r="AD124" s="154"/>
      <c r="AE124" s="154"/>
      <c r="AF124" s="154"/>
      <c r="AG124" s="154"/>
      <c r="AH124" s="154"/>
      <c r="AI124" s="154"/>
      <c r="AJ124" s="154"/>
      <c r="AK124" s="154"/>
      <c r="AL124" s="154"/>
      <c r="AM124" s="154"/>
      <c r="AN124" s="154"/>
      <c r="AO124" s="154"/>
      <c r="AP124" s="154"/>
      <c r="AQ124" s="154"/>
      <c r="AR124" s="309">
        <f t="shared" ref="AR124:AR125" si="13">SUM(E124,G124,I124,K124,M124,-N124,-P124,-R124,-T124,-V124,-X124,-Z124,-AB124,-AD124,-AF124,-AP124,-AH124,-AJ124,-AL124,-AN124)</f>
        <v>0</v>
      </c>
      <c r="AS124" s="310">
        <v>2</v>
      </c>
    </row>
    <row r="125" spans="1:45" ht="16.2" thickBot="1" x14ac:dyDescent="0.35">
      <c r="A125" s="80">
        <v>111</v>
      </c>
      <c r="B125" s="30" t="s">
        <v>185</v>
      </c>
      <c r="C125" s="110">
        <v>2000</v>
      </c>
      <c r="D125" s="104" t="s">
        <v>11</v>
      </c>
      <c r="E125" s="296"/>
      <c r="F125" s="284"/>
      <c r="G125" s="158"/>
      <c r="H125" s="141"/>
      <c r="I125" s="158"/>
      <c r="J125" s="141"/>
      <c r="K125" s="158"/>
      <c r="L125" s="141"/>
      <c r="M125" s="159"/>
      <c r="N125" s="164"/>
      <c r="O125" s="154"/>
      <c r="P125" s="154"/>
      <c r="Q125" s="154"/>
      <c r="R125" s="154"/>
      <c r="S125" s="154"/>
      <c r="T125" s="154"/>
      <c r="U125" s="154"/>
      <c r="V125" s="154"/>
      <c r="W125" s="154"/>
      <c r="X125" s="154"/>
      <c r="Y125" s="154"/>
      <c r="Z125" s="154"/>
      <c r="AA125" s="154"/>
      <c r="AB125" s="154"/>
      <c r="AC125" s="154"/>
      <c r="AD125" s="154"/>
      <c r="AE125" s="154"/>
      <c r="AF125" s="154"/>
      <c r="AG125" s="154"/>
      <c r="AH125" s="154"/>
      <c r="AI125" s="154"/>
      <c r="AJ125" s="154"/>
      <c r="AK125" s="154"/>
      <c r="AL125" s="154"/>
      <c r="AM125" s="154"/>
      <c r="AN125" s="154"/>
      <c r="AO125" s="154"/>
      <c r="AP125" s="154"/>
      <c r="AQ125" s="154"/>
      <c r="AR125" s="309">
        <f t="shared" si="13"/>
        <v>0</v>
      </c>
      <c r="AS125" s="310">
        <v>3</v>
      </c>
    </row>
    <row r="127" spans="1:45" s="311" customFormat="1" ht="21" x14ac:dyDescent="0.4"/>
  </sheetData>
  <mergeCells count="12">
    <mergeCell ref="B114:AR114"/>
    <mergeCell ref="B85:AR85"/>
    <mergeCell ref="B13:AS13"/>
    <mergeCell ref="B67:AR67"/>
    <mergeCell ref="B3:AS3"/>
    <mergeCell ref="B95:AS95"/>
    <mergeCell ref="B24:AR24"/>
    <mergeCell ref="B61:AR61"/>
    <mergeCell ref="A37:AS37"/>
    <mergeCell ref="A44:AS44"/>
    <mergeCell ref="A55:AS55"/>
    <mergeCell ref="B78:AR78"/>
  </mergeCells>
  <phoneticPr fontId="3" type="noConversion"/>
  <pageMargins left="0.25" right="0.25" top="0.75" bottom="0.75" header="0.3" footer="0.3"/>
  <pageSetup paperSize="235"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S124"/>
  <sheetViews>
    <sheetView workbookViewId="0">
      <selection activeCell="E122" sqref="E122"/>
    </sheetView>
  </sheetViews>
  <sheetFormatPr defaultRowHeight="13.8" x14ac:dyDescent="0.3"/>
  <cols>
    <col min="1" max="1" width="8.88671875" style="4"/>
    <col min="2" max="2" width="44.5546875" style="4" customWidth="1"/>
    <col min="3" max="3" width="9" style="4" customWidth="1"/>
    <col min="4" max="4" width="20.21875" style="4" customWidth="1"/>
    <col min="5" max="16384" width="8.88671875" style="4"/>
  </cols>
  <sheetData>
    <row r="1" spans="1:44" s="24" customFormat="1" ht="27.6" x14ac:dyDescent="0.3">
      <c r="A1" s="5" t="s">
        <v>2</v>
      </c>
      <c r="B1" s="5"/>
      <c r="C1" s="22" t="s">
        <v>21</v>
      </c>
      <c r="D1" s="23" t="s">
        <v>97</v>
      </c>
    </row>
    <row r="2" spans="1:44" x14ac:dyDescent="0.3">
      <c r="A2" s="338" t="s">
        <v>68</v>
      </c>
      <c r="B2" s="338"/>
      <c r="C2" s="338"/>
      <c r="D2" s="338"/>
      <c r="E2" s="338"/>
      <c r="F2" s="338"/>
      <c r="G2" s="338"/>
      <c r="H2" s="338"/>
      <c r="I2" s="338"/>
      <c r="J2" s="338"/>
      <c r="K2" s="338"/>
      <c r="L2" s="338"/>
      <c r="M2" s="338"/>
      <c r="N2" s="338"/>
      <c r="O2" s="338"/>
      <c r="P2" s="338"/>
      <c r="Q2" s="338"/>
      <c r="R2" s="338"/>
      <c r="S2" s="338"/>
      <c r="T2" s="338"/>
      <c r="U2" s="338"/>
      <c r="V2" s="338"/>
      <c r="W2" s="338"/>
      <c r="X2" s="338"/>
      <c r="Y2" s="338"/>
      <c r="Z2" s="338"/>
      <c r="AA2" s="338"/>
      <c r="AB2" s="338"/>
      <c r="AC2" s="338"/>
      <c r="AD2" s="338"/>
      <c r="AE2" s="338"/>
      <c r="AF2" s="338"/>
      <c r="AG2" s="338"/>
      <c r="AH2" s="338"/>
      <c r="AI2" s="338"/>
      <c r="AJ2" s="338"/>
      <c r="AK2" s="338"/>
      <c r="AL2" s="338"/>
      <c r="AM2" s="338"/>
      <c r="AN2" s="338"/>
      <c r="AO2" s="338"/>
      <c r="AP2" s="338"/>
      <c r="AQ2" s="338"/>
      <c r="AR2" s="338"/>
    </row>
    <row r="3" spans="1:44" ht="15.6" x14ac:dyDescent="0.3">
      <c r="A3" s="37">
        <v>1</v>
      </c>
      <c r="B3" s="25" t="s">
        <v>150</v>
      </c>
      <c r="C3" s="92" t="s">
        <v>99</v>
      </c>
      <c r="D3" s="123" t="s">
        <v>10</v>
      </c>
    </row>
    <row r="4" spans="1:44" ht="15.6" x14ac:dyDescent="0.3">
      <c r="A4" s="37">
        <v>2</v>
      </c>
      <c r="B4" s="25" t="s">
        <v>100</v>
      </c>
      <c r="C4" s="92" t="s">
        <v>99</v>
      </c>
      <c r="D4" s="123" t="s">
        <v>10</v>
      </c>
    </row>
    <row r="5" spans="1:44" ht="15.6" x14ac:dyDescent="0.3">
      <c r="A5" s="37">
        <v>3</v>
      </c>
      <c r="B5" s="25" t="s">
        <v>96</v>
      </c>
      <c r="C5" s="92" t="s">
        <v>102</v>
      </c>
      <c r="D5" s="123" t="s">
        <v>98</v>
      </c>
    </row>
    <row r="6" spans="1:44" ht="15.6" x14ac:dyDescent="0.3">
      <c r="A6" s="37">
        <v>4</v>
      </c>
      <c r="B6" s="25" t="s">
        <v>134</v>
      </c>
      <c r="C6" s="92" t="s">
        <v>135</v>
      </c>
      <c r="D6" s="123" t="s">
        <v>73</v>
      </c>
    </row>
    <row r="7" spans="1:44" ht="15.6" x14ac:dyDescent="0.3">
      <c r="A7" s="37">
        <v>5</v>
      </c>
      <c r="B7" s="25" t="s">
        <v>177</v>
      </c>
      <c r="C7" s="92" t="s">
        <v>103</v>
      </c>
      <c r="D7" s="123" t="s">
        <v>11</v>
      </c>
    </row>
    <row r="8" spans="1:44" ht="15.6" x14ac:dyDescent="0.3">
      <c r="A8" s="37">
        <v>6</v>
      </c>
      <c r="B8" s="10" t="s">
        <v>74</v>
      </c>
      <c r="C8" s="93">
        <v>250</v>
      </c>
      <c r="D8" s="123" t="s">
        <v>44</v>
      </c>
    </row>
    <row r="9" spans="1:44" ht="15.6" x14ac:dyDescent="0.3">
      <c r="A9" s="37">
        <v>7</v>
      </c>
      <c r="B9" s="10" t="s">
        <v>166</v>
      </c>
      <c r="C9" s="92" t="s">
        <v>101</v>
      </c>
      <c r="D9" s="123" t="s">
        <v>44</v>
      </c>
    </row>
    <row r="10" spans="1:44" ht="15.6" x14ac:dyDescent="0.3">
      <c r="A10" s="37">
        <v>8</v>
      </c>
      <c r="B10" s="10" t="s">
        <v>189</v>
      </c>
      <c r="C10" s="93">
        <v>650</v>
      </c>
      <c r="D10" s="123" t="s">
        <v>44</v>
      </c>
    </row>
    <row r="11" spans="1:44" ht="15.6" x14ac:dyDescent="0.3">
      <c r="A11" s="37">
        <v>9</v>
      </c>
      <c r="B11" s="10" t="s">
        <v>95</v>
      </c>
      <c r="C11" s="92" t="s">
        <v>104</v>
      </c>
      <c r="D11" s="123" t="s">
        <v>11</v>
      </c>
    </row>
    <row r="12" spans="1:44" ht="14.4" thickBot="1" x14ac:dyDescent="0.35">
      <c r="A12" s="338" t="s">
        <v>62</v>
      </c>
      <c r="B12" s="338"/>
      <c r="C12" s="338"/>
      <c r="D12" s="338"/>
      <c r="E12" s="338"/>
      <c r="F12" s="338"/>
      <c r="G12" s="338"/>
      <c r="H12" s="338"/>
      <c r="I12" s="338"/>
      <c r="J12" s="338"/>
      <c r="K12" s="338"/>
      <c r="L12" s="338"/>
      <c r="M12" s="338"/>
      <c r="N12" s="338"/>
      <c r="O12" s="338"/>
      <c r="P12" s="338"/>
      <c r="Q12" s="338"/>
      <c r="R12" s="338"/>
      <c r="S12" s="338"/>
      <c r="T12" s="338"/>
      <c r="U12" s="338"/>
      <c r="V12" s="338"/>
      <c r="W12" s="338"/>
      <c r="X12" s="338"/>
      <c r="Y12" s="338"/>
      <c r="Z12" s="338"/>
      <c r="AA12" s="338"/>
      <c r="AB12" s="338"/>
      <c r="AC12" s="338"/>
      <c r="AD12" s="338"/>
      <c r="AE12" s="338"/>
      <c r="AF12" s="338"/>
      <c r="AG12" s="338"/>
      <c r="AH12" s="338"/>
      <c r="AI12" s="338"/>
      <c r="AJ12" s="338"/>
      <c r="AK12" s="338"/>
      <c r="AL12" s="338"/>
      <c r="AM12" s="338"/>
      <c r="AN12" s="338"/>
      <c r="AO12" s="338"/>
      <c r="AP12" s="338"/>
      <c r="AQ12" s="338"/>
      <c r="AR12" s="338"/>
    </row>
    <row r="13" spans="1:44" ht="15.6" x14ac:dyDescent="0.3">
      <c r="A13" s="37">
        <v>10</v>
      </c>
      <c r="B13" s="26" t="s">
        <v>37</v>
      </c>
      <c r="C13" s="94" t="s">
        <v>107</v>
      </c>
      <c r="D13" s="144" t="s">
        <v>38</v>
      </c>
    </row>
    <row r="14" spans="1:44" ht="15.6" x14ac:dyDescent="0.3">
      <c r="A14" s="37">
        <v>11</v>
      </c>
      <c r="B14" s="27" t="s">
        <v>90</v>
      </c>
      <c r="C14" s="93">
        <v>200</v>
      </c>
      <c r="D14" s="154" t="s">
        <v>39</v>
      </c>
    </row>
    <row r="15" spans="1:44" ht="15.6" x14ac:dyDescent="0.3">
      <c r="A15" s="37">
        <v>12</v>
      </c>
      <c r="B15" s="27" t="s">
        <v>60</v>
      </c>
      <c r="C15" s="93">
        <v>15</v>
      </c>
      <c r="D15" s="154" t="s">
        <v>56</v>
      </c>
    </row>
    <row r="16" spans="1:44" ht="15.6" x14ac:dyDescent="0.3">
      <c r="A16" s="37">
        <v>13</v>
      </c>
      <c r="B16" s="27" t="s">
        <v>61</v>
      </c>
      <c r="C16" s="92" t="s">
        <v>136</v>
      </c>
      <c r="D16" s="154"/>
    </row>
    <row r="17" spans="1:43" ht="15.6" x14ac:dyDescent="0.3">
      <c r="A17" s="37">
        <v>14</v>
      </c>
      <c r="B17" s="27" t="s">
        <v>75</v>
      </c>
      <c r="C17" s="92" t="s">
        <v>107</v>
      </c>
      <c r="D17" s="154" t="s">
        <v>76</v>
      </c>
    </row>
    <row r="18" spans="1:43" ht="15.6" x14ac:dyDescent="0.3">
      <c r="A18" s="37">
        <v>15</v>
      </c>
      <c r="B18" s="27" t="s">
        <v>181</v>
      </c>
      <c r="C18" s="92" t="s">
        <v>133</v>
      </c>
      <c r="D18" s="154" t="s">
        <v>76</v>
      </c>
    </row>
    <row r="19" spans="1:43" ht="15.6" x14ac:dyDescent="0.3">
      <c r="A19" s="37">
        <v>16</v>
      </c>
      <c r="B19" s="8" t="s">
        <v>106</v>
      </c>
      <c r="C19" s="92" t="s">
        <v>102</v>
      </c>
      <c r="D19" s="154" t="s">
        <v>63</v>
      </c>
    </row>
    <row r="20" spans="1:43" ht="15.6" x14ac:dyDescent="0.3">
      <c r="A20" s="37">
        <v>17</v>
      </c>
      <c r="B20" s="8" t="s">
        <v>186</v>
      </c>
      <c r="C20" s="93">
        <v>650</v>
      </c>
      <c r="D20" s="154" t="s">
        <v>176</v>
      </c>
    </row>
    <row r="21" spans="1:43" ht="15.6" x14ac:dyDescent="0.3">
      <c r="A21" s="37">
        <v>18</v>
      </c>
      <c r="B21" s="27" t="s">
        <v>105</v>
      </c>
      <c r="C21" s="92" t="s">
        <v>103</v>
      </c>
      <c r="D21" s="154" t="s">
        <v>11</v>
      </c>
    </row>
    <row r="22" spans="1:43" ht="16.2" thickBot="1" x14ac:dyDescent="0.35">
      <c r="A22" s="37">
        <v>19</v>
      </c>
      <c r="B22" s="87" t="s">
        <v>109</v>
      </c>
      <c r="C22" s="95" t="s">
        <v>104</v>
      </c>
      <c r="D22" s="166" t="s">
        <v>110</v>
      </c>
    </row>
    <row r="23" spans="1:43" ht="14.4" thickBot="1" x14ac:dyDescent="0.35">
      <c r="A23" s="338" t="s">
        <v>131</v>
      </c>
      <c r="B23" s="338"/>
      <c r="C23" s="338"/>
      <c r="D23" s="338"/>
      <c r="E23" s="338"/>
      <c r="F23" s="338"/>
      <c r="G23" s="338"/>
      <c r="H23" s="338"/>
      <c r="I23" s="338"/>
      <c r="J23" s="338"/>
      <c r="K23" s="338"/>
      <c r="L23" s="338"/>
      <c r="M23" s="338"/>
      <c r="N23" s="338"/>
      <c r="O23" s="338"/>
      <c r="P23" s="338"/>
      <c r="Q23" s="338"/>
      <c r="R23" s="338"/>
      <c r="S23" s="338"/>
      <c r="T23" s="338"/>
      <c r="U23" s="338"/>
      <c r="V23" s="338"/>
      <c r="W23" s="338"/>
      <c r="X23" s="338"/>
      <c r="Y23" s="338"/>
      <c r="Z23" s="338"/>
      <c r="AA23" s="338"/>
      <c r="AB23" s="338"/>
      <c r="AC23" s="338"/>
      <c r="AD23" s="338"/>
      <c r="AE23" s="338"/>
      <c r="AF23" s="338"/>
      <c r="AG23" s="338"/>
      <c r="AH23" s="338"/>
      <c r="AI23" s="338"/>
      <c r="AJ23" s="338"/>
      <c r="AK23" s="338"/>
      <c r="AL23" s="338"/>
      <c r="AM23" s="338"/>
      <c r="AN23" s="338"/>
      <c r="AO23" s="338"/>
      <c r="AP23" s="338"/>
      <c r="AQ23" s="338"/>
    </row>
    <row r="24" spans="1:43" ht="15.6" x14ac:dyDescent="0.3">
      <c r="A24" s="14">
        <v>20</v>
      </c>
      <c r="B24" s="7" t="s">
        <v>28</v>
      </c>
      <c r="C24" s="96">
        <v>150</v>
      </c>
      <c r="D24" s="176" t="s">
        <v>25</v>
      </c>
    </row>
    <row r="25" spans="1:43" ht="15.6" x14ac:dyDescent="0.3">
      <c r="A25" s="14">
        <v>21</v>
      </c>
      <c r="B25" s="8" t="s">
        <v>29</v>
      </c>
      <c r="C25" s="97">
        <v>150</v>
      </c>
      <c r="D25" s="104" t="s">
        <v>26</v>
      </c>
    </row>
    <row r="26" spans="1:43" ht="15.6" x14ac:dyDescent="0.3">
      <c r="A26" s="14">
        <v>22</v>
      </c>
      <c r="B26" s="8" t="s">
        <v>22</v>
      </c>
      <c r="C26" s="97">
        <v>150</v>
      </c>
      <c r="D26" s="104" t="s">
        <v>24</v>
      </c>
    </row>
    <row r="27" spans="1:43" ht="15.6" x14ac:dyDescent="0.3">
      <c r="A27" s="13">
        <v>23</v>
      </c>
      <c r="B27" s="8" t="s">
        <v>165</v>
      </c>
      <c r="C27" s="98" t="s">
        <v>102</v>
      </c>
      <c r="D27" s="104" t="s">
        <v>190</v>
      </c>
    </row>
    <row r="28" spans="1:43" ht="15.6" x14ac:dyDescent="0.3">
      <c r="A28" s="14">
        <v>24</v>
      </c>
      <c r="B28" s="8" t="s">
        <v>77</v>
      </c>
      <c r="C28" s="97">
        <v>250</v>
      </c>
      <c r="D28" s="104" t="s">
        <v>24</v>
      </c>
    </row>
    <row r="29" spans="1:43" ht="15.6" x14ac:dyDescent="0.3">
      <c r="A29" s="14">
        <v>25</v>
      </c>
      <c r="B29" s="8" t="s">
        <v>78</v>
      </c>
      <c r="C29" s="97">
        <v>250</v>
      </c>
      <c r="D29" s="104" t="s">
        <v>26</v>
      </c>
    </row>
    <row r="30" spans="1:43" ht="15.6" x14ac:dyDescent="0.3">
      <c r="A30" s="14">
        <v>26</v>
      </c>
      <c r="B30" s="8" t="s">
        <v>79</v>
      </c>
      <c r="C30" s="97">
        <v>250</v>
      </c>
      <c r="D30" s="104" t="s">
        <v>25</v>
      </c>
    </row>
    <row r="31" spans="1:43" ht="15.6" x14ac:dyDescent="0.3">
      <c r="A31" s="14">
        <v>27</v>
      </c>
      <c r="B31" s="8" t="s">
        <v>33</v>
      </c>
      <c r="C31" s="97">
        <v>650</v>
      </c>
      <c r="D31" s="104"/>
    </row>
    <row r="32" spans="1:43" ht="15.6" x14ac:dyDescent="0.3">
      <c r="A32" s="14">
        <v>28</v>
      </c>
      <c r="B32" s="28" t="s">
        <v>1</v>
      </c>
      <c r="C32" s="97">
        <v>650</v>
      </c>
      <c r="D32" s="104"/>
    </row>
    <row r="33" spans="1:45" ht="15.6" x14ac:dyDescent="0.3">
      <c r="A33" s="13">
        <v>29</v>
      </c>
      <c r="B33" s="8" t="s">
        <v>58</v>
      </c>
      <c r="C33" s="98" t="s">
        <v>148</v>
      </c>
      <c r="D33" s="104"/>
    </row>
    <row r="34" spans="1:45" x14ac:dyDescent="0.3">
      <c r="A34" s="6">
        <v>30</v>
      </c>
      <c r="B34" s="8" t="s">
        <v>27</v>
      </c>
      <c r="C34" s="19">
        <v>150</v>
      </c>
      <c r="D34" s="19"/>
    </row>
    <row r="35" spans="1:45" x14ac:dyDescent="0.3">
      <c r="A35" s="9">
        <v>31</v>
      </c>
      <c r="B35" s="8" t="s">
        <v>89</v>
      </c>
      <c r="C35" s="19" t="s">
        <v>149</v>
      </c>
      <c r="D35" s="19" t="s">
        <v>11</v>
      </c>
    </row>
    <row r="36" spans="1:45" ht="14.4" thickBot="1" x14ac:dyDescent="0.35">
      <c r="A36" s="339" t="s">
        <v>132</v>
      </c>
      <c r="B36" s="339"/>
      <c r="C36" s="339"/>
      <c r="D36" s="339"/>
      <c r="E36" s="339"/>
      <c r="F36" s="339"/>
      <c r="G36" s="339"/>
      <c r="H36" s="339"/>
      <c r="I36" s="339"/>
      <c r="J36" s="339"/>
      <c r="K36" s="339"/>
      <c r="L36" s="339"/>
      <c r="M36" s="339"/>
      <c r="N36" s="339"/>
      <c r="O36" s="339"/>
      <c r="P36" s="339"/>
      <c r="Q36" s="339"/>
      <c r="R36" s="339"/>
      <c r="S36" s="339"/>
      <c r="T36" s="339"/>
      <c r="U36" s="339"/>
      <c r="V36" s="339"/>
      <c r="W36" s="339"/>
      <c r="X36" s="339"/>
      <c r="Y36" s="339"/>
      <c r="Z36" s="339"/>
      <c r="AA36" s="339"/>
      <c r="AB36" s="339"/>
      <c r="AC36" s="339"/>
      <c r="AD36" s="339"/>
      <c r="AE36" s="339"/>
      <c r="AF36" s="339"/>
      <c r="AG36" s="339"/>
      <c r="AH36" s="339"/>
      <c r="AI36" s="339"/>
      <c r="AJ36" s="339"/>
      <c r="AK36" s="339"/>
      <c r="AL36" s="339"/>
      <c r="AM36" s="339"/>
      <c r="AN36" s="339"/>
      <c r="AO36" s="339"/>
      <c r="AP36" s="339"/>
      <c r="AQ36" s="339"/>
      <c r="AR36" s="339"/>
      <c r="AS36" s="339"/>
    </row>
    <row r="37" spans="1:45" ht="15.6" x14ac:dyDescent="0.3">
      <c r="A37" s="14">
        <v>32</v>
      </c>
      <c r="B37" s="7" t="s">
        <v>80</v>
      </c>
      <c r="C37" s="96">
        <v>1200</v>
      </c>
      <c r="D37" s="176" t="s">
        <v>81</v>
      </c>
    </row>
    <row r="38" spans="1:45" ht="15.6" x14ac:dyDescent="0.3">
      <c r="A38" s="14">
        <v>33</v>
      </c>
      <c r="B38" s="8" t="s">
        <v>0</v>
      </c>
      <c r="C38" s="97">
        <v>600</v>
      </c>
      <c r="D38" s="104" t="s">
        <v>81</v>
      </c>
    </row>
    <row r="39" spans="1:45" ht="15.6" x14ac:dyDescent="0.3">
      <c r="A39" s="14">
        <v>34</v>
      </c>
      <c r="B39" s="8" t="s">
        <v>82</v>
      </c>
      <c r="C39" s="97">
        <v>600</v>
      </c>
      <c r="D39" s="104" t="s">
        <v>30</v>
      </c>
    </row>
    <row r="40" spans="1:45" ht="15.6" x14ac:dyDescent="0.3">
      <c r="A40" s="13">
        <v>35</v>
      </c>
      <c r="B40" s="8" t="s">
        <v>175</v>
      </c>
      <c r="C40" s="98" t="s">
        <v>108</v>
      </c>
      <c r="D40" s="104" t="s">
        <v>31</v>
      </c>
    </row>
    <row r="41" spans="1:45" x14ac:dyDescent="0.3">
      <c r="A41" s="6">
        <v>36</v>
      </c>
      <c r="B41" s="12"/>
      <c r="C41" s="21"/>
      <c r="D41" s="21"/>
    </row>
    <row r="42" spans="1:45" ht="14.4" thickBot="1" x14ac:dyDescent="0.35">
      <c r="A42" s="6">
        <v>37</v>
      </c>
      <c r="B42" s="11"/>
      <c r="C42" s="20"/>
      <c r="D42" s="20"/>
    </row>
    <row r="43" spans="1:45" ht="14.4" thickBot="1" x14ac:dyDescent="0.35">
      <c r="A43" s="339" t="s">
        <v>64</v>
      </c>
      <c r="B43" s="339"/>
      <c r="C43" s="339"/>
      <c r="D43" s="339"/>
      <c r="E43" s="339"/>
      <c r="F43" s="339"/>
      <c r="G43" s="339"/>
      <c r="H43" s="339"/>
      <c r="I43" s="339"/>
      <c r="J43" s="339"/>
      <c r="K43" s="339"/>
      <c r="L43" s="339"/>
      <c r="M43" s="339"/>
      <c r="N43" s="339"/>
      <c r="O43" s="339"/>
      <c r="P43" s="339"/>
      <c r="Q43" s="339"/>
      <c r="R43" s="339"/>
      <c r="S43" s="339"/>
      <c r="T43" s="339"/>
      <c r="U43" s="339"/>
      <c r="V43" s="339"/>
      <c r="W43" s="339"/>
      <c r="X43" s="339"/>
      <c r="Y43" s="339"/>
      <c r="Z43" s="339"/>
      <c r="AA43" s="339"/>
      <c r="AB43" s="339"/>
      <c r="AC43" s="339"/>
      <c r="AD43" s="339"/>
      <c r="AE43" s="339"/>
      <c r="AF43" s="339"/>
      <c r="AG43" s="339"/>
      <c r="AH43" s="339"/>
      <c r="AI43" s="339"/>
      <c r="AJ43" s="339"/>
      <c r="AK43" s="339"/>
      <c r="AL43" s="339"/>
      <c r="AM43" s="339"/>
      <c r="AN43" s="339"/>
      <c r="AO43" s="339"/>
      <c r="AP43" s="339"/>
      <c r="AQ43" s="339"/>
      <c r="AR43" s="339"/>
      <c r="AS43" s="339"/>
    </row>
    <row r="44" spans="1:45" ht="15.6" x14ac:dyDescent="0.3">
      <c r="A44" s="13">
        <v>38</v>
      </c>
      <c r="B44" s="7" t="s">
        <v>172</v>
      </c>
      <c r="C44" s="96">
        <v>275</v>
      </c>
      <c r="D44" s="176" t="s">
        <v>167</v>
      </c>
    </row>
    <row r="45" spans="1:45" ht="15.6" x14ac:dyDescent="0.3">
      <c r="A45" s="13">
        <v>39</v>
      </c>
      <c r="B45" s="8" t="s">
        <v>147</v>
      </c>
      <c r="C45" s="98" t="s">
        <v>149</v>
      </c>
      <c r="D45" s="104" t="s">
        <v>32</v>
      </c>
    </row>
    <row r="46" spans="1:45" ht="15.6" x14ac:dyDescent="0.3">
      <c r="A46" s="13">
        <v>40</v>
      </c>
      <c r="B46" s="8" t="s">
        <v>66</v>
      </c>
      <c r="C46" s="98" t="s">
        <v>149</v>
      </c>
      <c r="D46" s="104" t="s">
        <v>11</v>
      </c>
    </row>
    <row r="47" spans="1:45" ht="15.6" x14ac:dyDescent="0.3">
      <c r="A47" s="13">
        <v>41</v>
      </c>
      <c r="B47" s="8" t="s">
        <v>34</v>
      </c>
      <c r="C47" s="97">
        <v>200</v>
      </c>
      <c r="D47" s="104" t="s">
        <v>44</v>
      </c>
    </row>
    <row r="48" spans="1:45" ht="15.6" x14ac:dyDescent="0.3">
      <c r="A48" s="13">
        <v>42</v>
      </c>
      <c r="B48" s="8" t="s">
        <v>35</v>
      </c>
      <c r="C48" s="98" t="s">
        <v>107</v>
      </c>
      <c r="D48" s="235" t="s">
        <v>36</v>
      </c>
    </row>
    <row r="49" spans="1:45" ht="15.6" x14ac:dyDescent="0.3">
      <c r="A49" s="13">
        <v>43</v>
      </c>
      <c r="B49" s="8" t="s">
        <v>187</v>
      </c>
      <c r="C49" s="98" t="s">
        <v>102</v>
      </c>
      <c r="D49" s="235" t="s">
        <v>11</v>
      </c>
    </row>
    <row r="50" spans="1:45" ht="15.6" x14ac:dyDescent="0.3">
      <c r="A50" s="13">
        <v>44</v>
      </c>
      <c r="B50" s="8" t="s">
        <v>188</v>
      </c>
      <c r="C50" s="97">
        <v>3500</v>
      </c>
      <c r="D50" s="235" t="s">
        <v>113</v>
      </c>
    </row>
    <row r="51" spans="1:45" ht="15.6" x14ac:dyDescent="0.3">
      <c r="A51" s="13">
        <v>45</v>
      </c>
      <c r="B51" s="8" t="s">
        <v>122</v>
      </c>
      <c r="C51" s="98" t="s">
        <v>124</v>
      </c>
      <c r="D51" s="235" t="s">
        <v>123</v>
      </c>
    </row>
    <row r="52" spans="1:45" ht="15.6" x14ac:dyDescent="0.3">
      <c r="A52" s="13">
        <v>46</v>
      </c>
      <c r="B52" s="12" t="s">
        <v>128</v>
      </c>
      <c r="C52" s="102" t="s">
        <v>103</v>
      </c>
      <c r="D52" s="240" t="s">
        <v>127</v>
      </c>
    </row>
    <row r="53" spans="1:45" ht="16.2" thickBot="1" x14ac:dyDescent="0.35">
      <c r="A53" s="13">
        <v>47</v>
      </c>
      <c r="B53" s="11" t="s">
        <v>151</v>
      </c>
      <c r="C53" s="99" t="s">
        <v>152</v>
      </c>
      <c r="D53" s="246"/>
    </row>
    <row r="54" spans="1:45" ht="18" customHeight="1" thickBot="1" x14ac:dyDescent="0.35">
      <c r="A54" s="339" t="s">
        <v>65</v>
      </c>
      <c r="B54" s="339"/>
      <c r="C54" s="339"/>
      <c r="D54" s="339"/>
      <c r="E54" s="339"/>
      <c r="F54" s="339"/>
      <c r="G54" s="339"/>
      <c r="H54" s="339"/>
      <c r="I54" s="339"/>
      <c r="J54" s="339"/>
      <c r="K54" s="339"/>
      <c r="L54" s="339"/>
      <c r="M54" s="339"/>
      <c r="N54" s="339"/>
      <c r="O54" s="339"/>
      <c r="P54" s="339"/>
      <c r="Q54" s="339"/>
      <c r="R54" s="339"/>
      <c r="S54" s="339"/>
      <c r="T54" s="339"/>
      <c r="U54" s="339"/>
      <c r="V54" s="339"/>
      <c r="W54" s="339"/>
      <c r="X54" s="339"/>
      <c r="Y54" s="339"/>
      <c r="Z54" s="339"/>
      <c r="AA54" s="339"/>
      <c r="AB54" s="339"/>
      <c r="AC54" s="339"/>
      <c r="AD54" s="339"/>
      <c r="AE54" s="339"/>
      <c r="AF54" s="339"/>
      <c r="AG54" s="339"/>
      <c r="AH54" s="339"/>
      <c r="AI54" s="339"/>
      <c r="AJ54" s="339"/>
      <c r="AK54" s="339"/>
      <c r="AL54" s="339"/>
      <c r="AM54" s="339"/>
      <c r="AN54" s="339"/>
      <c r="AO54" s="339"/>
      <c r="AP54" s="339"/>
      <c r="AQ54" s="339"/>
      <c r="AR54" s="339"/>
      <c r="AS54" s="339"/>
    </row>
    <row r="55" spans="1:45" ht="15.6" x14ac:dyDescent="0.3">
      <c r="A55" s="14">
        <v>48</v>
      </c>
      <c r="B55" s="7" t="s">
        <v>40</v>
      </c>
      <c r="C55" s="96">
        <v>250</v>
      </c>
      <c r="D55" s="248" t="s">
        <v>41</v>
      </c>
    </row>
    <row r="56" spans="1:45" ht="15.6" x14ac:dyDescent="0.3">
      <c r="A56" s="63">
        <v>49</v>
      </c>
      <c r="B56" s="8" t="s">
        <v>93</v>
      </c>
      <c r="C56" s="97">
        <v>650</v>
      </c>
      <c r="D56" s="235" t="s">
        <v>42</v>
      </c>
    </row>
    <row r="57" spans="1:45" ht="15.6" x14ac:dyDescent="0.3">
      <c r="A57" s="13">
        <v>50</v>
      </c>
      <c r="B57" s="28" t="s">
        <v>163</v>
      </c>
      <c r="C57" s="103" t="s">
        <v>103</v>
      </c>
      <c r="D57" s="235" t="s">
        <v>162</v>
      </c>
    </row>
    <row r="58" spans="1:45" ht="15.6" x14ac:dyDescent="0.3">
      <c r="A58" s="14">
        <v>51</v>
      </c>
      <c r="B58" s="8"/>
      <c r="C58" s="104"/>
      <c r="D58" s="104"/>
    </row>
    <row r="59" spans="1:45" ht="16.2" thickBot="1" x14ac:dyDescent="0.35">
      <c r="A59" s="14">
        <v>52</v>
      </c>
      <c r="B59" s="29"/>
      <c r="C59" s="105"/>
      <c r="D59" s="246"/>
    </row>
    <row r="60" spans="1:45" ht="14.4" thickBot="1" x14ac:dyDescent="0.35">
      <c r="A60" s="340" t="s">
        <v>67</v>
      </c>
      <c r="B60" s="340"/>
      <c r="C60" s="340"/>
      <c r="D60" s="340"/>
      <c r="E60" s="340"/>
      <c r="F60" s="340"/>
      <c r="G60" s="340"/>
      <c r="H60" s="340"/>
      <c r="I60" s="340"/>
      <c r="J60" s="340"/>
      <c r="K60" s="340"/>
      <c r="L60" s="340"/>
      <c r="M60" s="340"/>
      <c r="N60" s="340"/>
      <c r="O60" s="340"/>
      <c r="P60" s="340"/>
      <c r="Q60" s="340"/>
      <c r="R60" s="340"/>
      <c r="S60" s="340"/>
      <c r="T60" s="340"/>
      <c r="U60" s="340"/>
      <c r="V60" s="340"/>
      <c r="W60" s="340"/>
      <c r="X60" s="340"/>
      <c r="Y60" s="340"/>
      <c r="Z60" s="340"/>
      <c r="AA60" s="340"/>
      <c r="AB60" s="340"/>
      <c r="AC60" s="340"/>
      <c r="AD60" s="340"/>
      <c r="AE60" s="340"/>
      <c r="AF60" s="340"/>
      <c r="AG60" s="340"/>
      <c r="AH60" s="340"/>
      <c r="AI60" s="340"/>
      <c r="AJ60" s="340"/>
      <c r="AK60" s="340"/>
      <c r="AL60" s="340"/>
      <c r="AM60" s="340"/>
      <c r="AN60" s="340"/>
      <c r="AO60" s="340"/>
      <c r="AP60" s="340"/>
      <c r="AQ60" s="340"/>
    </row>
    <row r="61" spans="1:45" ht="15.6" x14ac:dyDescent="0.3">
      <c r="A61" s="14">
        <v>53</v>
      </c>
      <c r="B61" s="7" t="s">
        <v>23</v>
      </c>
      <c r="C61" s="96">
        <v>1500</v>
      </c>
      <c r="D61" s="248"/>
    </row>
    <row r="62" spans="1:45" ht="15.6" x14ac:dyDescent="0.3">
      <c r="A62" s="13">
        <v>54</v>
      </c>
      <c r="B62" s="8" t="s">
        <v>43</v>
      </c>
      <c r="C62" s="98" t="s">
        <v>149</v>
      </c>
      <c r="D62" s="235"/>
    </row>
    <row r="63" spans="1:45" ht="15.6" x14ac:dyDescent="0.3">
      <c r="A63" s="13">
        <v>55</v>
      </c>
      <c r="B63" s="8" t="s">
        <v>140</v>
      </c>
      <c r="C63" s="97">
        <v>850</v>
      </c>
      <c r="D63" s="235"/>
    </row>
    <row r="64" spans="1:45" ht="15.6" x14ac:dyDescent="0.3">
      <c r="A64" s="14">
        <v>56</v>
      </c>
      <c r="B64" s="8"/>
      <c r="C64" s="104"/>
      <c r="D64" s="235"/>
    </row>
    <row r="65" spans="1:43" ht="16.2" thickBot="1" x14ac:dyDescent="0.35">
      <c r="A65" s="14">
        <v>57</v>
      </c>
      <c r="B65" s="11"/>
      <c r="C65" s="101"/>
      <c r="D65" s="246"/>
    </row>
    <row r="66" spans="1:43" ht="14.4" thickBot="1" x14ac:dyDescent="0.35">
      <c r="A66" s="340" t="s">
        <v>83</v>
      </c>
      <c r="B66" s="340"/>
      <c r="C66" s="340"/>
      <c r="D66" s="340"/>
      <c r="E66" s="340"/>
      <c r="F66" s="340"/>
      <c r="G66" s="340"/>
      <c r="H66" s="340"/>
      <c r="I66" s="340"/>
      <c r="J66" s="340"/>
      <c r="K66" s="340"/>
      <c r="L66" s="340"/>
      <c r="M66" s="340"/>
      <c r="N66" s="340"/>
      <c r="O66" s="340"/>
      <c r="P66" s="340"/>
      <c r="Q66" s="340"/>
      <c r="R66" s="340"/>
      <c r="S66" s="340"/>
      <c r="T66" s="340"/>
      <c r="U66" s="340"/>
      <c r="V66" s="340"/>
      <c r="W66" s="340"/>
      <c r="X66" s="340"/>
      <c r="Y66" s="340"/>
      <c r="Z66" s="340"/>
      <c r="AA66" s="340"/>
      <c r="AB66" s="340"/>
      <c r="AC66" s="340"/>
      <c r="AD66" s="340"/>
      <c r="AE66" s="340"/>
      <c r="AF66" s="340"/>
      <c r="AG66" s="340"/>
      <c r="AH66" s="340"/>
      <c r="AI66" s="340"/>
      <c r="AJ66" s="340"/>
      <c r="AK66" s="340"/>
      <c r="AL66" s="340"/>
      <c r="AM66" s="340"/>
      <c r="AN66" s="340"/>
      <c r="AO66" s="340"/>
      <c r="AP66" s="340"/>
      <c r="AQ66" s="341"/>
    </row>
    <row r="67" spans="1:43" ht="15.6" x14ac:dyDescent="0.3">
      <c r="A67" s="13">
        <v>58</v>
      </c>
      <c r="B67" s="7" t="s">
        <v>84</v>
      </c>
      <c r="C67" s="106" t="s">
        <v>103</v>
      </c>
      <c r="D67" s="248" t="s">
        <v>85</v>
      </c>
    </row>
    <row r="68" spans="1:43" ht="15.6" x14ac:dyDescent="0.3">
      <c r="A68" s="13">
        <v>59</v>
      </c>
      <c r="B68" s="8" t="s">
        <v>86</v>
      </c>
      <c r="C68" s="98" t="s">
        <v>103</v>
      </c>
      <c r="D68" s="235" t="s">
        <v>121</v>
      </c>
    </row>
    <row r="69" spans="1:43" ht="15.6" x14ac:dyDescent="0.3">
      <c r="A69" s="13">
        <v>60</v>
      </c>
      <c r="B69" s="8" t="s">
        <v>87</v>
      </c>
      <c r="C69" s="98" t="s">
        <v>107</v>
      </c>
      <c r="D69" s="104"/>
    </row>
    <row r="70" spans="1:43" ht="15.6" x14ac:dyDescent="0.3">
      <c r="A70" s="13">
        <v>61</v>
      </c>
      <c r="B70" s="8" t="s">
        <v>91</v>
      </c>
      <c r="C70" s="98" t="s">
        <v>154</v>
      </c>
      <c r="D70" s="104" t="s">
        <v>45</v>
      </c>
    </row>
    <row r="71" spans="1:43" ht="15.6" x14ac:dyDescent="0.3">
      <c r="A71" s="14">
        <v>62</v>
      </c>
      <c r="B71" s="8" t="s">
        <v>94</v>
      </c>
      <c r="C71" s="98" t="s">
        <v>164</v>
      </c>
      <c r="D71" s="104" t="s">
        <v>112</v>
      </c>
    </row>
    <row r="72" spans="1:43" ht="15.6" x14ac:dyDescent="0.3">
      <c r="A72" s="13">
        <v>63</v>
      </c>
      <c r="B72" s="28" t="s">
        <v>169</v>
      </c>
      <c r="C72" s="98" t="s">
        <v>170</v>
      </c>
      <c r="D72" s="104" t="s">
        <v>45</v>
      </c>
    </row>
    <row r="73" spans="1:43" ht="15.6" x14ac:dyDescent="0.3">
      <c r="A73" s="14">
        <v>64</v>
      </c>
      <c r="B73" s="8" t="s">
        <v>184</v>
      </c>
      <c r="C73" s="98" t="s">
        <v>103</v>
      </c>
      <c r="D73" s="104" t="s">
        <v>45</v>
      </c>
    </row>
    <row r="74" spans="1:43" ht="15.6" x14ac:dyDescent="0.3">
      <c r="A74" s="14">
        <v>65</v>
      </c>
      <c r="B74" s="8" t="s">
        <v>49</v>
      </c>
      <c r="C74" s="97">
        <v>650</v>
      </c>
      <c r="D74" s="104" t="s">
        <v>51</v>
      </c>
    </row>
    <row r="75" spans="1:43" ht="15.6" x14ac:dyDescent="0.3">
      <c r="A75" s="14">
        <v>66</v>
      </c>
      <c r="B75" s="8" t="s">
        <v>111</v>
      </c>
      <c r="C75" s="98" t="s">
        <v>102</v>
      </c>
      <c r="D75" s="104" t="s">
        <v>112</v>
      </c>
    </row>
    <row r="76" spans="1:43" ht="16.2" thickBot="1" x14ac:dyDescent="0.35">
      <c r="A76" s="14">
        <v>67</v>
      </c>
      <c r="B76" s="11"/>
      <c r="C76" s="101"/>
      <c r="D76" s="246"/>
    </row>
    <row r="77" spans="1:43" ht="14.4" thickBot="1" x14ac:dyDescent="0.35">
      <c r="A77" s="337" t="s">
        <v>130</v>
      </c>
      <c r="B77" s="337"/>
      <c r="C77" s="337"/>
      <c r="D77" s="337"/>
      <c r="E77" s="337"/>
      <c r="F77" s="337"/>
      <c r="G77" s="337"/>
      <c r="H77" s="337"/>
      <c r="I77" s="337"/>
      <c r="J77" s="337"/>
      <c r="K77" s="337"/>
      <c r="L77" s="337"/>
      <c r="M77" s="337"/>
      <c r="N77" s="337"/>
      <c r="O77" s="337"/>
      <c r="P77" s="337"/>
      <c r="Q77" s="337"/>
      <c r="R77" s="337"/>
      <c r="S77" s="337"/>
      <c r="T77" s="337"/>
      <c r="U77" s="337"/>
      <c r="V77" s="337"/>
      <c r="W77" s="337"/>
      <c r="X77" s="337"/>
      <c r="Y77" s="337"/>
      <c r="Z77" s="337"/>
      <c r="AA77" s="337"/>
      <c r="AB77" s="337"/>
      <c r="AC77" s="337"/>
      <c r="AD77" s="337"/>
      <c r="AE77" s="337"/>
      <c r="AF77" s="337"/>
      <c r="AG77" s="337"/>
      <c r="AH77" s="337"/>
      <c r="AI77" s="337"/>
      <c r="AJ77" s="337"/>
      <c r="AK77" s="337"/>
      <c r="AL77" s="337"/>
      <c r="AM77" s="337"/>
      <c r="AN77" s="337"/>
      <c r="AO77" s="337"/>
      <c r="AP77" s="337"/>
      <c r="AQ77" s="337"/>
    </row>
    <row r="78" spans="1:43" ht="15.6" x14ac:dyDescent="0.3">
      <c r="A78" s="14">
        <v>68</v>
      </c>
      <c r="B78" s="39" t="s">
        <v>8</v>
      </c>
      <c r="C78" s="40">
        <v>150</v>
      </c>
      <c r="D78" s="62"/>
    </row>
    <row r="79" spans="1:43" ht="15.6" x14ac:dyDescent="0.3">
      <c r="A79" s="76">
        <v>69</v>
      </c>
      <c r="B79" s="38" t="s">
        <v>46</v>
      </c>
      <c r="C79" s="45">
        <v>150</v>
      </c>
      <c r="D79" s="60"/>
    </row>
    <row r="80" spans="1:43" ht="15.6" x14ac:dyDescent="0.3">
      <c r="A80" s="76">
        <v>70</v>
      </c>
      <c r="B80" s="38" t="s">
        <v>47</v>
      </c>
      <c r="C80" s="66">
        <v>150</v>
      </c>
      <c r="D80" s="60"/>
    </row>
    <row r="81" spans="1:44" ht="15.6" x14ac:dyDescent="0.3">
      <c r="A81" s="76">
        <v>71</v>
      </c>
      <c r="B81" s="38" t="s">
        <v>48</v>
      </c>
      <c r="C81" s="45">
        <v>150</v>
      </c>
      <c r="D81" s="60"/>
    </row>
    <row r="82" spans="1:44" ht="15.6" x14ac:dyDescent="0.3">
      <c r="A82" s="76">
        <v>72</v>
      </c>
      <c r="B82" s="38" t="s">
        <v>120</v>
      </c>
      <c r="C82" s="45" t="s">
        <v>118</v>
      </c>
      <c r="D82" s="60" t="s">
        <v>119</v>
      </c>
    </row>
    <row r="83" spans="1:44" ht="16.2" thickBot="1" x14ac:dyDescent="0.35">
      <c r="A83" s="13">
        <v>73</v>
      </c>
      <c r="B83" s="51" t="s">
        <v>126</v>
      </c>
      <c r="C83" s="52" t="s">
        <v>115</v>
      </c>
      <c r="D83" s="61" t="s">
        <v>125</v>
      </c>
    </row>
    <row r="84" spans="1:44" ht="14.4" thickBot="1" x14ac:dyDescent="0.35">
      <c r="A84" s="337" t="s">
        <v>141</v>
      </c>
      <c r="B84" s="337"/>
      <c r="C84" s="337"/>
      <c r="D84" s="337"/>
      <c r="E84" s="337"/>
      <c r="F84" s="337"/>
      <c r="G84" s="337"/>
      <c r="H84" s="337"/>
      <c r="I84" s="337"/>
      <c r="J84" s="337"/>
      <c r="K84" s="337"/>
      <c r="L84" s="337"/>
      <c r="M84" s="337"/>
      <c r="N84" s="337"/>
      <c r="O84" s="337"/>
      <c r="P84" s="337"/>
      <c r="Q84" s="337"/>
      <c r="R84" s="337"/>
      <c r="S84" s="337"/>
      <c r="T84" s="337"/>
      <c r="U84" s="337"/>
      <c r="V84" s="337"/>
      <c r="W84" s="337"/>
      <c r="X84" s="337"/>
      <c r="Y84" s="337"/>
      <c r="Z84" s="337"/>
      <c r="AA84" s="337"/>
      <c r="AB84" s="337"/>
      <c r="AC84" s="337"/>
      <c r="AD84" s="337"/>
      <c r="AE84" s="337"/>
      <c r="AF84" s="337"/>
      <c r="AG84" s="337"/>
      <c r="AH84" s="337"/>
      <c r="AI84" s="337"/>
      <c r="AJ84" s="337"/>
      <c r="AK84" s="337"/>
      <c r="AL84" s="337"/>
      <c r="AM84" s="337"/>
      <c r="AN84" s="337"/>
      <c r="AO84" s="337"/>
      <c r="AP84" s="337"/>
      <c r="AQ84" s="337"/>
    </row>
    <row r="85" spans="1:44" ht="15.6" x14ac:dyDescent="0.3">
      <c r="A85" s="13">
        <v>74</v>
      </c>
      <c r="B85" s="88" t="s">
        <v>159</v>
      </c>
      <c r="C85" s="107" t="s">
        <v>103</v>
      </c>
      <c r="D85" s="176" t="s">
        <v>81</v>
      </c>
    </row>
    <row r="86" spans="1:44" ht="15.6" x14ac:dyDescent="0.3">
      <c r="A86" s="13">
        <v>75</v>
      </c>
      <c r="B86" s="8" t="s">
        <v>88</v>
      </c>
      <c r="C86" s="98" t="s">
        <v>117</v>
      </c>
      <c r="D86" s="104" t="s">
        <v>116</v>
      </c>
    </row>
    <row r="87" spans="1:44" ht="15.6" x14ac:dyDescent="0.3">
      <c r="A87" s="37">
        <v>76</v>
      </c>
      <c r="B87" s="8" t="s">
        <v>157</v>
      </c>
      <c r="C87" s="98" t="s">
        <v>115</v>
      </c>
      <c r="D87" s="283" t="s">
        <v>81</v>
      </c>
    </row>
    <row r="88" spans="1:44" ht="15.6" x14ac:dyDescent="0.3">
      <c r="A88" s="34">
        <v>77</v>
      </c>
      <c r="B88" s="8" t="s">
        <v>50</v>
      </c>
      <c r="C88" s="97">
        <v>800</v>
      </c>
      <c r="D88" s="104" t="s">
        <v>81</v>
      </c>
    </row>
    <row r="89" spans="1:44" ht="15.6" x14ac:dyDescent="0.3">
      <c r="A89" s="13">
        <v>78</v>
      </c>
      <c r="B89" s="8" t="s">
        <v>59</v>
      </c>
      <c r="C89" s="98" t="s">
        <v>103</v>
      </c>
      <c r="D89" s="104" t="s">
        <v>116</v>
      </c>
    </row>
    <row r="90" spans="1:44" ht="15.6" x14ac:dyDescent="0.3">
      <c r="A90" s="13">
        <v>79</v>
      </c>
      <c r="B90" s="30" t="s">
        <v>139</v>
      </c>
      <c r="C90" s="108" t="s">
        <v>114</v>
      </c>
      <c r="D90" s="104"/>
    </row>
    <row r="91" spans="1:44" ht="15.6" x14ac:dyDescent="0.3">
      <c r="A91" s="13">
        <v>80</v>
      </c>
      <c r="B91" s="28" t="s">
        <v>142</v>
      </c>
      <c r="C91" s="103" t="s">
        <v>143</v>
      </c>
      <c r="D91" s="104" t="s">
        <v>145</v>
      </c>
    </row>
    <row r="92" spans="1:44" ht="15.6" x14ac:dyDescent="0.3">
      <c r="A92" s="13">
        <v>81</v>
      </c>
      <c r="B92" s="30" t="s">
        <v>146</v>
      </c>
      <c r="C92" s="103" t="s">
        <v>143</v>
      </c>
      <c r="D92" s="104" t="s">
        <v>144</v>
      </c>
    </row>
    <row r="93" spans="1:44" ht="16.2" thickBot="1" x14ac:dyDescent="0.35">
      <c r="A93" s="13">
        <v>82</v>
      </c>
      <c r="B93" s="29" t="s">
        <v>160</v>
      </c>
      <c r="C93" s="109" t="s">
        <v>161</v>
      </c>
      <c r="D93" s="101" t="s">
        <v>81</v>
      </c>
    </row>
    <row r="94" spans="1:44" ht="14.4" thickBot="1" x14ac:dyDescent="0.35">
      <c r="A94" s="338" t="s">
        <v>129</v>
      </c>
      <c r="B94" s="338"/>
      <c r="C94" s="338"/>
      <c r="D94" s="338"/>
      <c r="E94" s="338"/>
      <c r="F94" s="338"/>
      <c r="G94" s="338"/>
      <c r="H94" s="338"/>
      <c r="I94" s="338"/>
      <c r="J94" s="338"/>
      <c r="K94" s="338"/>
      <c r="L94" s="338"/>
      <c r="M94" s="338"/>
      <c r="N94" s="338"/>
      <c r="O94" s="338"/>
      <c r="P94" s="338"/>
      <c r="Q94" s="338"/>
      <c r="R94" s="338"/>
      <c r="S94" s="338"/>
      <c r="T94" s="338"/>
      <c r="U94" s="338"/>
      <c r="V94" s="338"/>
      <c r="W94" s="338"/>
      <c r="X94" s="338"/>
      <c r="Y94" s="338"/>
      <c r="Z94" s="338"/>
      <c r="AA94" s="338"/>
      <c r="AB94" s="338"/>
      <c r="AC94" s="338"/>
      <c r="AD94" s="338"/>
      <c r="AE94" s="338"/>
      <c r="AF94" s="338"/>
      <c r="AG94" s="338"/>
      <c r="AH94" s="338"/>
      <c r="AI94" s="338"/>
      <c r="AJ94" s="338"/>
      <c r="AK94" s="338"/>
      <c r="AL94" s="338"/>
      <c r="AM94" s="338"/>
      <c r="AN94" s="338"/>
      <c r="AO94" s="338"/>
      <c r="AP94" s="338"/>
      <c r="AQ94" s="338"/>
      <c r="AR94" s="338"/>
    </row>
    <row r="95" spans="1:44" ht="15.6" x14ac:dyDescent="0.3">
      <c r="A95" s="34">
        <v>83</v>
      </c>
      <c r="B95" s="89" t="s">
        <v>14</v>
      </c>
      <c r="C95" s="96">
        <v>650</v>
      </c>
      <c r="D95" s="293" t="s">
        <v>12</v>
      </c>
    </row>
    <row r="96" spans="1:44" ht="15.6" x14ac:dyDescent="0.3">
      <c r="A96" s="34">
        <v>84</v>
      </c>
      <c r="B96" s="15" t="s">
        <v>13</v>
      </c>
      <c r="C96" s="97">
        <v>650</v>
      </c>
      <c r="D96" s="283" t="s">
        <v>12</v>
      </c>
    </row>
    <row r="97" spans="1:4" ht="15.6" x14ac:dyDescent="0.3">
      <c r="A97" s="34">
        <v>85</v>
      </c>
      <c r="B97" s="16" t="s">
        <v>15</v>
      </c>
      <c r="C97" s="97">
        <v>650</v>
      </c>
      <c r="D97" s="283" t="s">
        <v>12</v>
      </c>
    </row>
    <row r="98" spans="1:4" ht="15.6" x14ac:dyDescent="0.3">
      <c r="A98" s="34">
        <v>86</v>
      </c>
      <c r="B98" s="17" t="s">
        <v>16</v>
      </c>
      <c r="C98" s="97">
        <v>650</v>
      </c>
      <c r="D98" s="283" t="s">
        <v>12</v>
      </c>
    </row>
    <row r="99" spans="1:4" ht="15.6" x14ac:dyDescent="0.3">
      <c r="A99" s="34">
        <v>87</v>
      </c>
      <c r="B99" s="18" t="s">
        <v>17</v>
      </c>
      <c r="C99" s="97">
        <v>750</v>
      </c>
      <c r="D99" s="283" t="s">
        <v>12</v>
      </c>
    </row>
    <row r="100" spans="1:4" ht="15.6" x14ac:dyDescent="0.3">
      <c r="A100" s="34">
        <v>88</v>
      </c>
      <c r="B100" s="15" t="s">
        <v>18</v>
      </c>
      <c r="C100" s="97">
        <v>750</v>
      </c>
      <c r="D100" s="283" t="s">
        <v>12</v>
      </c>
    </row>
    <row r="101" spans="1:4" ht="15.6" x14ac:dyDescent="0.3">
      <c r="A101" s="34">
        <v>89</v>
      </c>
      <c r="B101" s="16" t="s">
        <v>19</v>
      </c>
      <c r="C101" s="97">
        <v>750</v>
      </c>
      <c r="D101" s="283" t="s">
        <v>12</v>
      </c>
    </row>
    <row r="102" spans="1:4" ht="15.6" x14ac:dyDescent="0.3">
      <c r="A102" s="34">
        <v>90</v>
      </c>
      <c r="B102" s="17" t="s">
        <v>20</v>
      </c>
      <c r="C102" s="97">
        <v>750</v>
      </c>
      <c r="D102" s="283" t="s">
        <v>12</v>
      </c>
    </row>
    <row r="103" spans="1:4" ht="15.6" x14ac:dyDescent="0.3">
      <c r="A103" s="34">
        <v>91</v>
      </c>
      <c r="B103" s="18" t="s">
        <v>69</v>
      </c>
      <c r="C103" s="97">
        <v>750</v>
      </c>
      <c r="D103" s="283" t="s">
        <v>12</v>
      </c>
    </row>
    <row r="104" spans="1:4" ht="15.6" x14ac:dyDescent="0.3">
      <c r="A104" s="34">
        <v>92</v>
      </c>
      <c r="B104" s="15" t="s">
        <v>70</v>
      </c>
      <c r="C104" s="97">
        <v>750</v>
      </c>
      <c r="D104" s="283" t="s">
        <v>12</v>
      </c>
    </row>
    <row r="105" spans="1:4" ht="15.6" x14ac:dyDescent="0.3">
      <c r="A105" s="34">
        <v>93</v>
      </c>
      <c r="B105" s="16" t="s">
        <v>71</v>
      </c>
      <c r="C105" s="97">
        <v>750</v>
      </c>
      <c r="D105" s="283" t="s">
        <v>12</v>
      </c>
    </row>
    <row r="106" spans="1:4" ht="15.6" x14ac:dyDescent="0.3">
      <c r="A106" s="34">
        <v>94</v>
      </c>
      <c r="B106" s="17" t="s">
        <v>72</v>
      </c>
      <c r="C106" s="97">
        <v>750</v>
      </c>
      <c r="D106" s="283" t="s">
        <v>12</v>
      </c>
    </row>
    <row r="107" spans="1:4" ht="15.6" x14ac:dyDescent="0.3">
      <c r="A107" s="34">
        <v>95</v>
      </c>
      <c r="B107" s="18" t="s">
        <v>52</v>
      </c>
      <c r="C107" s="97">
        <v>100</v>
      </c>
      <c r="D107" s="283" t="s">
        <v>56</v>
      </c>
    </row>
    <row r="108" spans="1:4" ht="15.6" x14ac:dyDescent="0.3">
      <c r="A108" s="34">
        <v>96</v>
      </c>
      <c r="B108" s="15" t="s">
        <v>53</v>
      </c>
      <c r="C108" s="97">
        <v>100</v>
      </c>
      <c r="D108" s="283" t="s">
        <v>56</v>
      </c>
    </row>
    <row r="109" spans="1:4" ht="15.6" x14ac:dyDescent="0.3">
      <c r="A109" s="34">
        <v>97</v>
      </c>
      <c r="B109" s="16" t="s">
        <v>54</v>
      </c>
      <c r="C109" s="97">
        <v>100</v>
      </c>
      <c r="D109" s="283" t="s">
        <v>56</v>
      </c>
    </row>
    <row r="110" spans="1:4" ht="15.6" x14ac:dyDescent="0.3">
      <c r="A110" s="34">
        <v>98</v>
      </c>
      <c r="B110" s="17" t="s">
        <v>55</v>
      </c>
      <c r="C110" s="97">
        <v>100</v>
      </c>
      <c r="D110" s="283" t="s">
        <v>56</v>
      </c>
    </row>
    <row r="111" spans="1:4" ht="15.6" x14ac:dyDescent="0.3">
      <c r="A111" s="34">
        <v>99</v>
      </c>
      <c r="B111" s="8"/>
      <c r="C111" s="104"/>
      <c r="D111" s="283"/>
    </row>
    <row r="112" spans="1:4" ht="16.2" thickBot="1" x14ac:dyDescent="0.35">
      <c r="A112" s="34">
        <v>100</v>
      </c>
      <c r="B112" s="11"/>
      <c r="C112" s="101"/>
      <c r="D112" s="166"/>
    </row>
    <row r="113" spans="1:43" ht="14.4" thickBot="1" x14ac:dyDescent="0.35">
      <c r="A113" s="337" t="s">
        <v>137</v>
      </c>
      <c r="B113" s="337"/>
      <c r="C113" s="337"/>
      <c r="D113" s="337"/>
      <c r="E113" s="337"/>
      <c r="F113" s="337"/>
      <c r="G113" s="337"/>
      <c r="H113" s="337"/>
      <c r="I113" s="337"/>
      <c r="J113" s="337"/>
      <c r="K113" s="337"/>
      <c r="L113" s="337"/>
      <c r="M113" s="337"/>
      <c r="N113" s="337"/>
      <c r="O113" s="337"/>
      <c r="P113" s="337"/>
      <c r="Q113" s="337"/>
      <c r="R113" s="337"/>
      <c r="S113" s="337"/>
      <c r="T113" s="337"/>
      <c r="U113" s="337"/>
      <c r="V113" s="337"/>
      <c r="W113" s="337"/>
      <c r="X113" s="337"/>
      <c r="Y113" s="337"/>
      <c r="Z113" s="337"/>
      <c r="AA113" s="337"/>
      <c r="AB113" s="337"/>
      <c r="AC113" s="337"/>
      <c r="AD113" s="337"/>
      <c r="AE113" s="337"/>
      <c r="AF113" s="337"/>
      <c r="AG113" s="337"/>
      <c r="AH113" s="337"/>
      <c r="AI113" s="337"/>
      <c r="AJ113" s="337"/>
      <c r="AK113" s="337"/>
      <c r="AL113" s="337"/>
      <c r="AM113" s="337"/>
      <c r="AN113" s="337"/>
      <c r="AO113" s="337"/>
      <c r="AP113" s="337"/>
      <c r="AQ113" s="337"/>
    </row>
    <row r="114" spans="1:43" ht="15.6" x14ac:dyDescent="0.3">
      <c r="A114" s="13">
        <v>101</v>
      </c>
      <c r="B114" s="88" t="s">
        <v>138</v>
      </c>
      <c r="C114" s="107"/>
      <c r="D114" s="176"/>
    </row>
    <row r="115" spans="1:43" ht="15.6" x14ac:dyDescent="0.3">
      <c r="A115" s="13">
        <v>102</v>
      </c>
      <c r="B115" s="8" t="s">
        <v>153</v>
      </c>
      <c r="C115" s="98" t="s">
        <v>154</v>
      </c>
      <c r="D115" s="104" t="s">
        <v>156</v>
      </c>
    </row>
    <row r="116" spans="1:43" ht="15.6" x14ac:dyDescent="0.3">
      <c r="A116" s="37">
        <v>103</v>
      </c>
      <c r="B116" s="8" t="s">
        <v>155</v>
      </c>
      <c r="C116" s="98"/>
      <c r="D116" s="283"/>
    </row>
    <row r="117" spans="1:43" ht="15.6" x14ac:dyDescent="0.3">
      <c r="A117" s="37">
        <v>104</v>
      </c>
      <c r="B117" s="8" t="s">
        <v>168</v>
      </c>
      <c r="C117" s="97">
        <v>150</v>
      </c>
      <c r="D117" s="104" t="s">
        <v>156</v>
      </c>
    </row>
    <row r="118" spans="1:43" ht="15.6" x14ac:dyDescent="0.3">
      <c r="A118" s="37">
        <v>105</v>
      </c>
      <c r="B118" s="8" t="s">
        <v>158</v>
      </c>
      <c r="C118" s="98"/>
      <c r="D118" s="104"/>
    </row>
    <row r="119" spans="1:43" ht="15.6" x14ac:dyDescent="0.3">
      <c r="A119" s="80">
        <v>106</v>
      </c>
      <c r="B119" s="30" t="s">
        <v>171</v>
      </c>
      <c r="C119" s="110">
        <v>150</v>
      </c>
      <c r="D119" s="104"/>
    </row>
    <row r="120" spans="1:43" ht="15.6" x14ac:dyDescent="0.3">
      <c r="A120" s="80">
        <v>107</v>
      </c>
      <c r="B120" s="28" t="s">
        <v>173</v>
      </c>
      <c r="C120" s="111">
        <v>1200</v>
      </c>
      <c r="D120" s="104" t="s">
        <v>81</v>
      </c>
    </row>
    <row r="121" spans="1:43" ht="15.6" x14ac:dyDescent="0.3">
      <c r="A121" s="80">
        <v>108</v>
      </c>
      <c r="B121" s="30" t="s">
        <v>174</v>
      </c>
      <c r="C121" s="110">
        <v>890</v>
      </c>
      <c r="D121" s="104"/>
    </row>
    <row r="122" spans="1:43" ht="15.6" x14ac:dyDescent="0.3">
      <c r="A122" s="80">
        <v>109</v>
      </c>
      <c r="B122" s="30" t="s">
        <v>182</v>
      </c>
      <c r="C122" s="110">
        <v>3500</v>
      </c>
      <c r="D122" s="104" t="s">
        <v>11</v>
      </c>
    </row>
    <row r="123" spans="1:43" ht="15.6" x14ac:dyDescent="0.3">
      <c r="A123" s="80">
        <v>110</v>
      </c>
      <c r="B123" s="30" t="s">
        <v>183</v>
      </c>
      <c r="C123" s="110">
        <v>1200</v>
      </c>
      <c r="D123" s="104" t="s">
        <v>11</v>
      </c>
    </row>
    <row r="124" spans="1:43" ht="15.6" x14ac:dyDescent="0.3">
      <c r="A124" s="80">
        <v>111</v>
      </c>
      <c r="B124" s="30" t="s">
        <v>185</v>
      </c>
      <c r="C124" s="110">
        <v>2000</v>
      </c>
      <c r="D124" s="104" t="s">
        <v>11</v>
      </c>
    </row>
  </sheetData>
  <mergeCells count="12">
    <mergeCell ref="A113:AQ113"/>
    <mergeCell ref="A2:AR2"/>
    <mergeCell ref="A12:AR12"/>
    <mergeCell ref="A23:AQ23"/>
    <mergeCell ref="A36:AS36"/>
    <mergeCell ref="A43:AS43"/>
    <mergeCell ref="A54:AS54"/>
    <mergeCell ref="A60:AQ60"/>
    <mergeCell ref="A66:AQ66"/>
    <mergeCell ref="A77:AQ77"/>
    <mergeCell ref="A84:AQ84"/>
    <mergeCell ref="A94:AR94"/>
  </mergeCells>
  <pageMargins left="0" right="0" top="0" bottom="0" header="0" footer="0"/>
  <pageSetup paperSize="23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Parts List</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Tekle Laeke</cp:lastModifiedBy>
  <cp:lastPrinted>2026-05-20T10:03:50Z</cp:lastPrinted>
  <dcterms:created xsi:type="dcterms:W3CDTF">2023-07-12T12:02:32Z</dcterms:created>
  <dcterms:modified xsi:type="dcterms:W3CDTF">2026-06-13T19:56:22Z</dcterms:modified>
</cp:coreProperties>
</file>