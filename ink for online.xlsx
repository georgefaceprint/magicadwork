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enoni\2026\6\"/>
    </mc:Choice>
  </mc:AlternateContent>
  <xr:revisionPtr revIDLastSave="0" documentId="13_ncr:1_{23A9155A-8B38-4D66-8D0F-B55B43FF43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14" i="1" l="1"/>
  <c r="BG15" i="1"/>
  <c r="BG16" i="1"/>
  <c r="BG17" i="1"/>
  <c r="BG18" i="1"/>
  <c r="BG13" i="1"/>
  <c r="BG20" i="1"/>
  <c r="AZ58" i="1"/>
  <c r="AZ57" i="1"/>
  <c r="AZ56" i="1"/>
  <c r="AY38" i="1" l="1"/>
  <c r="AZ53" i="1" l="1"/>
  <c r="AZ52" i="1"/>
  <c r="AZ51" i="1"/>
  <c r="AZ50" i="1"/>
  <c r="BL40" i="1" l="1"/>
  <c r="BL41" i="1"/>
  <c r="BL42" i="1"/>
  <c r="BL43" i="1"/>
  <c r="AZ48" i="1"/>
  <c r="AZ47" i="1"/>
  <c r="AZ46" i="1"/>
  <c r="AZ45" i="1"/>
  <c r="BG22" i="1"/>
  <c r="BG21" i="1"/>
  <c r="BG23" i="1"/>
  <c r="AY35" i="1"/>
  <c r="AY36" i="1"/>
  <c r="AY37" i="1"/>
  <c r="BH33" i="1" l="1"/>
  <c r="BH32" i="1"/>
  <c r="BH31" i="1"/>
  <c r="BH30" i="1"/>
  <c r="AS28" i="1"/>
  <c r="AS27" i="1"/>
  <c r="AS26" i="1"/>
  <c r="AS25" i="1"/>
  <c r="AW11" i="1"/>
  <c r="AW10" i="1"/>
  <c r="AW9" i="1"/>
  <c r="AW8" i="1"/>
  <c r="AW6" i="1"/>
  <c r="AW5" i="1"/>
  <c r="AW4" i="1"/>
  <c r="AW3" i="1"/>
  <c r="AZ55" i="1"/>
</calcChain>
</file>

<file path=xl/sharedStrings.xml><?xml version="1.0" encoding="utf-8"?>
<sst xmlns="http://schemas.openxmlformats.org/spreadsheetml/2006/main" count="169" uniqueCount="112">
  <si>
    <t>I no</t>
  </si>
  <si>
    <t xml:space="preserve">stock received </t>
  </si>
  <si>
    <t>doc no received</t>
  </si>
  <si>
    <t>sale</t>
  </si>
  <si>
    <t>doc no</t>
  </si>
  <si>
    <t>D10-GF-MS21 1L BOTTLES</t>
  </si>
  <si>
    <t xml:space="preserve">D10-GF-MS21 1000ml C </t>
  </si>
  <si>
    <t>F621.1858</t>
  </si>
  <si>
    <t>D10-GF-MS21 1000ml M</t>
  </si>
  <si>
    <t>F621.1859</t>
  </si>
  <si>
    <t>D10-GF-MS21 1000ml Y</t>
  </si>
  <si>
    <t>F621.1860</t>
  </si>
  <si>
    <t>D10-GF-MS21 1000ml K</t>
  </si>
  <si>
    <t>F621.1861</t>
  </si>
  <si>
    <t>D10-GF-MS21 2000ml C NUbIS</t>
  </si>
  <si>
    <t>F623.1233</t>
  </si>
  <si>
    <t>D10-GF-MS21 2000ml M NUbIS</t>
  </si>
  <si>
    <t>F623.1234</t>
  </si>
  <si>
    <t>D10-GF-MS21 2000ml Y NUbIS</t>
  </si>
  <si>
    <t>F623.1235</t>
  </si>
  <si>
    <t>D10-GF-MS21 2000ml K NUbIS</t>
  </si>
  <si>
    <t>F623.1236</t>
  </si>
  <si>
    <t>D10-GF-MS21 1000ml C NUbIS</t>
  </si>
  <si>
    <t>F623.1290</t>
  </si>
  <si>
    <t>D10-GF-MS21 1000ml M NUbIS</t>
  </si>
  <si>
    <t>F623.1291</t>
  </si>
  <si>
    <t>D10-GF-MS21 1000ml Y NUbIS</t>
  </si>
  <si>
    <t>F623.1292</t>
  </si>
  <si>
    <t>D10-GF-MS21 1000ml K NUbIS</t>
  </si>
  <si>
    <t>F623.1293</t>
  </si>
  <si>
    <t>D10-GF-MS21 2L BIG POUCHES</t>
  </si>
  <si>
    <t>F623.1239</t>
  </si>
  <si>
    <t>F623.1240</t>
  </si>
  <si>
    <t>F623.1241</t>
  </si>
  <si>
    <t>F623.1242</t>
  </si>
  <si>
    <t>D10-esm 1000ml C</t>
  </si>
  <si>
    <t>F621.1758</t>
  </si>
  <si>
    <t>D10-esm 1000ml M</t>
  </si>
  <si>
    <t>F621.1759</t>
  </si>
  <si>
    <t>D10-esm 1000ml Y</t>
  </si>
  <si>
    <t>F621.1760</t>
  </si>
  <si>
    <t>D10-esm 1000ml K</t>
  </si>
  <si>
    <t>F621.1761</t>
  </si>
  <si>
    <t>AQ10-DST-HC 1L BOTTLES</t>
  </si>
  <si>
    <t>F661.1137</t>
  </si>
  <si>
    <t>F661.1139</t>
  </si>
  <si>
    <t>F621.1524</t>
  </si>
  <si>
    <t>F621.1525</t>
  </si>
  <si>
    <t>F621.1526</t>
  </si>
  <si>
    <t>F621.1527</t>
  </si>
  <si>
    <t>CLEANING SOL 1L &amp; 440ml</t>
  </si>
  <si>
    <t>CLEANING SOLUTION - MF 1000ml</t>
  </si>
  <si>
    <t>F611.1001</t>
  </si>
  <si>
    <t>CLEANING SOLUTION - MF 440ml</t>
  </si>
  <si>
    <t>F612.1001</t>
  </si>
  <si>
    <t>AQF CLEANING SOLUTION 1000ml</t>
  </si>
  <si>
    <t>F611.1078</t>
  </si>
  <si>
    <t xml:space="preserve">INK &amp; parts </t>
  </si>
  <si>
    <t>D10-ESM 1L BOTTLES</t>
  </si>
  <si>
    <t>D10-esm 1000ml Lm</t>
  </si>
  <si>
    <t>D10-esm 1000ml Lc</t>
  </si>
  <si>
    <t>F621.1763</t>
  </si>
  <si>
    <t>F621.1762</t>
  </si>
  <si>
    <t>F661.1138</t>
  </si>
  <si>
    <t>F661.1140</t>
  </si>
  <si>
    <t>Topaz T15 RG 2L BOTTLES with chips</t>
  </si>
  <si>
    <t>Ruby R10-RTR 1L Bottles C</t>
  </si>
  <si>
    <t>Ruby R10-RTR 1L Bottles M</t>
  </si>
  <si>
    <t>Ruby R10-RTR 1L Bottles Y</t>
  </si>
  <si>
    <t>Ruby R10-RTR 1L Bottles K</t>
  </si>
  <si>
    <t>F641.2867</t>
  </si>
  <si>
    <t>F641.2868</t>
  </si>
  <si>
    <t>F641.2869</t>
  </si>
  <si>
    <t>F641.2870</t>
  </si>
  <si>
    <t>CMF CLEANING SOLUTION 1000ml</t>
  </si>
  <si>
    <t>F611.1085</t>
  </si>
  <si>
    <t>D10-GF-CS25 1L BOTTLE with chips</t>
  </si>
  <si>
    <t>F621.1955</t>
  </si>
  <si>
    <t>F621.1956</t>
  </si>
  <si>
    <t>F621.1957</t>
  </si>
  <si>
    <t>F621.1958</t>
  </si>
  <si>
    <t>AQ-10-DST-HC 1000ML C</t>
  </si>
  <si>
    <t>AQ-10-DST-HC 1000ML M</t>
  </si>
  <si>
    <t>AQ-10-DST-HC 1000ML Y</t>
  </si>
  <si>
    <t>AQ-10-DST-HC 1000ML K</t>
  </si>
  <si>
    <t>1 Exp 2025</t>
  </si>
  <si>
    <t>2x Exp 2023</t>
  </si>
  <si>
    <t>price</t>
  </si>
  <si>
    <t>D10-GF-MS21 2000ml K w/out chips</t>
  </si>
  <si>
    <t>D10-GF-MS21 2000ml Y w/out chips</t>
  </si>
  <si>
    <t>D10-GF-MS21 2000ml M w/out chips</t>
  </si>
  <si>
    <t>D10-GF-MS21 2000ml C w/out chips</t>
  </si>
  <si>
    <t>Topaz T15 RG 2L BOTTLES w/chips M</t>
  </si>
  <si>
    <t>Topaz T15 RG 2L BOTTLES w/chips C</t>
  </si>
  <si>
    <t>Topaz T15 RG 2L BOTTLES w/chips Y</t>
  </si>
  <si>
    <t>Topaz T15 RG 2L BOTTLES w/chips K</t>
  </si>
  <si>
    <t>D10-GF-CS25 1L Bottles w/chip C</t>
  </si>
  <si>
    <t>D10-GF-CS25 1L Bottles w/chip M</t>
  </si>
  <si>
    <t>D10-GF-CS25 1L Bottles w/chip Y</t>
  </si>
  <si>
    <t>D10-GF-CS25 1L Bottles w/chip K</t>
  </si>
  <si>
    <t>Amethyst A20 RTR 1L C Bottle UV</t>
  </si>
  <si>
    <t>Amethyst A20 RTR 1L M Bottle UV</t>
  </si>
  <si>
    <t>Amethyst A20 RTR 1L Y Bottle UV</t>
  </si>
  <si>
    <t>Amethyst A20 RTR 1L CKBottle UV</t>
  </si>
  <si>
    <t>F641.2038</t>
  </si>
  <si>
    <t>F641.2039</t>
  </si>
  <si>
    <t>F641.2040</t>
  </si>
  <si>
    <t>F641.2041</t>
  </si>
  <si>
    <t>Ruby R10 -RTR 1L BOTTLES Uv w/out chips</t>
  </si>
  <si>
    <t>Amethyst A20 RTR 1L Bottle UV w/out chips</t>
  </si>
  <si>
    <t>D10-GF-MS21 1L pouches</t>
  </si>
  <si>
    <t>D10-GF-MS21 2L pouches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</si>
</sst>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10"/>
      <name val="Calibri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 Black"/>
      <family val="2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 Black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rial Black"/>
      <family val="2"/>
    </font>
    <font>
      <b/>
      <sz val="8"/>
      <name val="Arial Black"/>
      <family val="2"/>
    </font>
    <font>
      <sz val="9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rgb="FF0C0C0C"/>
      <name val="Calibri"/>
      <family val="2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Arial Black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i/>
      <sz val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 Light"/>
      <family val="2"/>
      <scheme val="major"/>
    </font>
    <font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FF33CC"/>
      </patternFill>
    </fill>
    <fill>
      <patternFill patternType="solid">
        <fgColor rgb="FFFFFF00"/>
      </patternFill>
    </fill>
    <fill>
      <patternFill patternType="solid">
        <fgColor rgb="FF3F3F3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0" borderId="0" xfId="0" applyAlignment="1">
      <alignment horizontal="center"/>
    </xf>
    <xf numFmtId="0" fontId="3" fillId="0" borderId="7" xfId="0" applyFont="1" applyBorder="1"/>
    <xf numFmtId="0" fontId="0" fillId="0" borderId="7" xfId="0" applyBorder="1"/>
    <xf numFmtId="0" fontId="1" fillId="0" borderId="3" xfId="0" applyFont="1" applyBorder="1"/>
    <xf numFmtId="0" fontId="1" fillId="0" borderId="3" xfId="0" applyFont="1" applyBorder="1" applyAlignment="1">
      <alignment wrapText="1"/>
    </xf>
    <xf numFmtId="15" fontId="1" fillId="2" borderId="3" xfId="0" applyNumberFormat="1" applyFont="1" applyFill="1" applyBorder="1" applyAlignment="1">
      <alignment wrapText="1"/>
    </xf>
    <xf numFmtId="0" fontId="1" fillId="0" borderId="3" xfId="0" applyFont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4" fillId="7" borderId="3" xfId="0" applyFont="1" applyFill="1" applyBorder="1"/>
    <xf numFmtId="0" fontId="2" fillId="7" borderId="1" xfId="0" applyFont="1" applyFill="1" applyBorder="1"/>
    <xf numFmtId="0" fontId="2" fillId="7" borderId="3" xfId="0" applyFont="1" applyFill="1" applyBorder="1"/>
    <xf numFmtId="0" fontId="6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12" fillId="8" borderId="3" xfId="0" applyFont="1" applyFill="1" applyBorder="1"/>
    <xf numFmtId="0" fontId="14" fillId="0" borderId="3" xfId="0" applyFont="1" applyBorder="1" applyAlignment="1">
      <alignment horizontal="center" wrapText="1"/>
    </xf>
    <xf numFmtId="0" fontId="13" fillId="0" borderId="0" xfId="0" applyFont="1"/>
    <xf numFmtId="0" fontId="0" fillId="0" borderId="7" xfId="0" applyBorder="1" applyAlignment="1">
      <alignment horizontal="center"/>
    </xf>
    <xf numFmtId="0" fontId="1" fillId="0" borderId="3" xfId="0" applyFont="1" applyBorder="1" applyAlignment="1">
      <alignment horizontal="center" vertical="top" wrapText="1"/>
    </xf>
    <xf numFmtId="0" fontId="8" fillId="7" borderId="3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2" fillId="7" borderId="7" xfId="0" applyFont="1" applyFill="1" applyBorder="1"/>
    <xf numFmtId="0" fontId="13" fillId="0" borderId="3" xfId="0" applyFont="1" applyBorder="1" applyAlignment="1">
      <alignment horizontal="center"/>
    </xf>
    <xf numFmtId="0" fontId="6" fillId="0" borderId="0" xfId="0" applyFont="1"/>
    <xf numFmtId="0" fontId="6" fillId="0" borderId="7" xfId="0" applyFont="1" applyBorder="1"/>
    <xf numFmtId="0" fontId="4" fillId="0" borderId="3" xfId="0" applyFont="1" applyBorder="1"/>
    <xf numFmtId="0" fontId="17" fillId="0" borderId="1" xfId="0" applyFont="1" applyBorder="1"/>
    <xf numFmtId="0" fontId="17" fillId="7" borderId="1" xfId="0" applyFont="1" applyFill="1" applyBorder="1"/>
    <xf numFmtId="0" fontId="18" fillId="7" borderId="3" xfId="0" applyFont="1" applyFill="1" applyBorder="1"/>
    <xf numFmtId="0" fontId="18" fillId="7" borderId="1" xfId="0" applyFont="1" applyFill="1" applyBorder="1"/>
    <xf numFmtId="0" fontId="19" fillId="3" borderId="3" xfId="0" applyFont="1" applyFill="1" applyBorder="1"/>
    <xf numFmtId="0" fontId="19" fillId="4" borderId="3" xfId="0" applyFont="1" applyFill="1" applyBorder="1"/>
    <xf numFmtId="0" fontId="20" fillId="5" borderId="3" xfId="0" applyFont="1" applyFill="1" applyBorder="1"/>
    <xf numFmtId="0" fontId="19" fillId="6" borderId="3" xfId="0" applyFont="1" applyFill="1" applyBorder="1"/>
    <xf numFmtId="0" fontId="19" fillId="3" borderId="1" xfId="0" applyFont="1" applyFill="1" applyBorder="1"/>
    <xf numFmtId="0" fontId="19" fillId="4" borderId="1" xfId="0" applyFont="1" applyFill="1" applyBorder="1"/>
    <xf numFmtId="0" fontId="20" fillId="5" borderId="1" xfId="0" applyFont="1" applyFill="1" applyBorder="1"/>
    <xf numFmtId="0" fontId="19" fillId="6" borderId="1" xfId="0" applyFont="1" applyFill="1" applyBorder="1"/>
    <xf numFmtId="0" fontId="20" fillId="0" borderId="1" xfId="0" applyFont="1" applyBorder="1"/>
    <xf numFmtId="0" fontId="20" fillId="9" borderId="3" xfId="0" applyFont="1" applyFill="1" applyBorder="1"/>
    <xf numFmtId="0" fontId="20" fillId="10" borderId="3" xfId="0" applyFont="1" applyFill="1" applyBorder="1"/>
    <xf numFmtId="0" fontId="0" fillId="0" borderId="3" xfId="0" applyBorder="1"/>
    <xf numFmtId="0" fontId="15" fillId="0" borderId="3" xfId="0" applyFont="1" applyBorder="1" applyAlignment="1">
      <alignment vertical="top" wrapText="1"/>
    </xf>
    <xf numFmtId="0" fontId="4" fillId="0" borderId="0" xfId="0" applyFont="1"/>
    <xf numFmtId="0" fontId="21" fillId="0" borderId="3" xfId="0" applyFont="1" applyBorder="1" applyAlignment="1">
      <alignment vertical="top" wrapText="1"/>
    </xf>
    <xf numFmtId="0" fontId="15" fillId="7" borderId="3" xfId="0" applyFont="1" applyFill="1" applyBorder="1"/>
    <xf numFmtId="0" fontId="15" fillId="7" borderId="1" xfId="0" applyFont="1" applyFill="1" applyBorder="1"/>
    <xf numFmtId="0" fontId="8" fillId="7" borderId="3" xfId="0" applyFont="1" applyFill="1" applyBorder="1"/>
    <xf numFmtId="0" fontId="23" fillId="8" borderId="3" xfId="0" applyFont="1" applyFill="1" applyBorder="1"/>
    <xf numFmtId="0" fontId="23" fillId="8" borderId="3" xfId="0" applyFont="1" applyFill="1" applyBorder="1" applyAlignment="1">
      <alignment horizontal="center"/>
    </xf>
    <xf numFmtId="16" fontId="0" fillId="7" borderId="7" xfId="0" applyNumberFormat="1" applyFill="1" applyBorder="1" applyAlignment="1">
      <alignment horizontal="center" wrapText="1"/>
    </xf>
    <xf numFmtId="0" fontId="4" fillId="7" borderId="7" xfId="0" applyFont="1" applyFill="1" applyBorder="1"/>
    <xf numFmtId="16" fontId="0" fillId="0" borderId="0" xfId="0" applyNumberFormat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22" fillId="8" borderId="3" xfId="0" applyFont="1" applyFill="1" applyBorder="1"/>
    <xf numFmtId="0" fontId="0" fillId="7" borderId="7" xfId="0" applyFill="1" applyBorder="1" applyAlignment="1">
      <alignment horizontal="left" wrapText="1"/>
    </xf>
    <xf numFmtId="16" fontId="0" fillId="7" borderId="7" xfId="0" applyNumberFormat="1" applyFill="1" applyBorder="1" applyAlignment="1">
      <alignment horizontal="left" wrapText="1"/>
    </xf>
    <xf numFmtId="0" fontId="24" fillId="0" borderId="0" xfId="0" applyFont="1"/>
    <xf numFmtId="0" fontId="25" fillId="8" borderId="2" xfId="0" applyFont="1" applyFill="1" applyBorder="1" applyAlignment="1">
      <alignment horizontal="center"/>
    </xf>
    <xf numFmtId="0" fontId="8" fillId="7" borderId="8" xfId="0" applyFont="1" applyFill="1" applyBorder="1"/>
    <xf numFmtId="0" fontId="26" fillId="7" borderId="3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25" fillId="8" borderId="2" xfId="0" applyFont="1" applyFill="1" applyBorder="1"/>
    <xf numFmtId="16" fontId="0" fillId="7" borderId="7" xfId="0" applyNumberFormat="1" applyFill="1" applyBorder="1" applyAlignment="1">
      <alignment horizontal="center"/>
    </xf>
    <xf numFmtId="0" fontId="23" fillId="0" borderId="3" xfId="0" applyFont="1" applyBorder="1"/>
    <xf numFmtId="0" fontId="15" fillId="0" borderId="3" xfId="0" applyFont="1" applyBorder="1"/>
    <xf numFmtId="0" fontId="5" fillId="0" borderId="3" xfId="0" applyFont="1" applyBorder="1"/>
    <xf numFmtId="16" fontId="23" fillId="8" borderId="3" xfId="0" applyNumberFormat="1" applyFont="1" applyFill="1" applyBorder="1"/>
    <xf numFmtId="0" fontId="2" fillId="7" borderId="9" xfId="0" applyFont="1" applyFill="1" applyBorder="1"/>
    <xf numFmtId="0" fontId="18" fillId="7" borderId="9" xfId="0" applyFont="1" applyFill="1" applyBorder="1"/>
    <xf numFmtId="0" fontId="20" fillId="0" borderId="9" xfId="0" applyFont="1" applyBorder="1"/>
    <xf numFmtId="0" fontId="27" fillId="0" borderId="3" xfId="0" applyFont="1" applyBorder="1"/>
    <xf numFmtId="0" fontId="9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6" fillId="7" borderId="3" xfId="0" applyFont="1" applyFill="1" applyBorder="1" applyAlignment="1">
      <alignment horizontal="center"/>
    </xf>
    <xf numFmtId="16" fontId="6" fillId="7" borderId="7" xfId="0" applyNumberFormat="1" applyFont="1" applyFill="1" applyBorder="1" applyAlignment="1">
      <alignment horizontal="center" wrapText="1"/>
    </xf>
    <xf numFmtId="0" fontId="6" fillId="0" borderId="7" xfId="0" applyFont="1" applyBorder="1" applyAlignment="1">
      <alignment horizontal="center"/>
    </xf>
    <xf numFmtId="1" fontId="6" fillId="7" borderId="7" xfId="0" applyNumberFormat="1" applyFont="1" applyFill="1" applyBorder="1" applyAlignment="1">
      <alignment horizontal="center" wrapText="1"/>
    </xf>
    <xf numFmtId="1" fontId="6" fillId="7" borderId="7" xfId="0" applyNumberFormat="1" applyFont="1" applyFill="1" applyBorder="1" applyAlignment="1">
      <alignment horizontal="center"/>
    </xf>
    <xf numFmtId="0" fontId="15" fillId="7" borderId="2" xfId="0" applyFont="1" applyFill="1" applyBorder="1"/>
    <xf numFmtId="0" fontId="8" fillId="7" borderId="2" xfId="0" applyFont="1" applyFill="1" applyBorder="1"/>
    <xf numFmtId="0" fontId="29" fillId="7" borderId="3" xfId="0" applyFont="1" applyFill="1" applyBorder="1" applyAlignment="1">
      <alignment horizontal="right"/>
    </xf>
    <xf numFmtId="0" fontId="25" fillId="8" borderId="10" xfId="0" applyFont="1" applyFill="1" applyBorder="1" applyAlignment="1">
      <alignment horizontal="center"/>
    </xf>
    <xf numFmtId="0" fontId="8" fillId="7" borderId="11" xfId="0" applyFont="1" applyFill="1" applyBorder="1"/>
    <xf numFmtId="0" fontId="15" fillId="7" borderId="12" xfId="0" applyFont="1" applyFill="1" applyBorder="1"/>
    <xf numFmtId="0" fontId="8" fillId="7" borderId="12" xfId="0" applyFont="1" applyFill="1" applyBorder="1" applyAlignment="1">
      <alignment horizontal="center"/>
    </xf>
    <xf numFmtId="0" fontId="15" fillId="7" borderId="13" xfId="0" applyFont="1" applyFill="1" applyBorder="1"/>
    <xf numFmtId="0" fontId="8" fillId="7" borderId="14" xfId="0" applyFont="1" applyFill="1" applyBorder="1"/>
    <xf numFmtId="0" fontId="15" fillId="7" borderId="15" xfId="0" applyFont="1" applyFill="1" applyBorder="1"/>
    <xf numFmtId="0" fontId="8" fillId="7" borderId="16" xfId="0" applyFont="1" applyFill="1" applyBorder="1"/>
    <xf numFmtId="0" fontId="15" fillId="7" borderId="17" xfId="0" applyFont="1" applyFill="1" applyBorder="1"/>
    <xf numFmtId="0" fontId="8" fillId="7" borderId="17" xfId="0" applyFont="1" applyFill="1" applyBorder="1" applyAlignment="1">
      <alignment horizontal="center"/>
    </xf>
    <xf numFmtId="0" fontId="15" fillId="7" borderId="18" xfId="0" applyFont="1" applyFill="1" applyBorder="1"/>
    <xf numFmtId="0" fontId="23" fillId="8" borderId="11" xfId="0" applyFont="1" applyFill="1" applyBorder="1" applyAlignment="1">
      <alignment horizontal="center"/>
    </xf>
    <xf numFmtId="0" fontId="23" fillId="8" borderId="12" xfId="0" applyFont="1" applyFill="1" applyBorder="1" applyAlignment="1">
      <alignment horizontal="center"/>
    </xf>
    <xf numFmtId="0" fontId="23" fillId="8" borderId="12" xfId="0" applyFont="1" applyFill="1" applyBorder="1"/>
    <xf numFmtId="0" fontId="23" fillId="8" borderId="14" xfId="0" applyFont="1" applyFill="1" applyBorder="1" applyAlignment="1">
      <alignment horizontal="center"/>
    </xf>
    <xf numFmtId="0" fontId="23" fillId="8" borderId="16" xfId="0" applyFont="1" applyFill="1" applyBorder="1" applyAlignment="1">
      <alignment horizontal="center"/>
    </xf>
    <xf numFmtId="0" fontId="23" fillId="8" borderId="17" xfId="0" applyFont="1" applyFill="1" applyBorder="1" applyAlignment="1">
      <alignment horizontal="center"/>
    </xf>
    <xf numFmtId="0" fontId="23" fillId="8" borderId="17" xfId="0" applyFont="1" applyFill="1" applyBorder="1"/>
    <xf numFmtId="0" fontId="13" fillId="7" borderId="2" xfId="0" applyFont="1" applyFill="1" applyBorder="1" applyAlignment="1">
      <alignment horizontal="center"/>
    </xf>
    <xf numFmtId="0" fontId="23" fillId="8" borderId="13" xfId="0" applyFont="1" applyFill="1" applyBorder="1"/>
    <xf numFmtId="0" fontId="23" fillId="8" borderId="15" xfId="0" applyFont="1" applyFill="1" applyBorder="1"/>
    <xf numFmtId="0" fontId="23" fillId="8" borderId="18" xfId="0" applyFont="1" applyFill="1" applyBorder="1"/>
    <xf numFmtId="0" fontId="9" fillId="8" borderId="10" xfId="0" applyFont="1" applyFill="1" applyBorder="1" applyAlignment="1">
      <alignment horizontal="center"/>
    </xf>
    <xf numFmtId="0" fontId="26" fillId="7" borderId="11" xfId="0" applyFont="1" applyFill="1" applyBorder="1"/>
    <xf numFmtId="0" fontId="26" fillId="7" borderId="12" xfId="0" applyFont="1" applyFill="1" applyBorder="1" applyAlignment="1">
      <alignment horizontal="center"/>
    </xf>
    <xf numFmtId="0" fontId="16" fillId="7" borderId="12" xfId="0" applyFont="1" applyFill="1" applyBorder="1" applyAlignment="1">
      <alignment horizontal="center"/>
    </xf>
    <xf numFmtId="0" fontId="4" fillId="7" borderId="12" xfId="0" applyFont="1" applyFill="1" applyBorder="1"/>
    <xf numFmtId="0" fontId="4" fillId="7" borderId="13" xfId="0" applyFont="1" applyFill="1" applyBorder="1"/>
    <xf numFmtId="0" fontId="26" fillId="7" borderId="14" xfId="0" applyFont="1" applyFill="1" applyBorder="1"/>
    <xf numFmtId="0" fontId="4" fillId="7" borderId="15" xfId="0" applyFont="1" applyFill="1" applyBorder="1"/>
    <xf numFmtId="0" fontId="26" fillId="7" borderId="16" xfId="0" applyFont="1" applyFill="1" applyBorder="1"/>
    <xf numFmtId="0" fontId="26" fillId="7" borderId="17" xfId="0" applyFont="1" applyFill="1" applyBorder="1" applyAlignment="1">
      <alignment horizontal="center"/>
    </xf>
    <xf numFmtId="0" fontId="16" fillId="7" borderId="17" xfId="0" applyFont="1" applyFill="1" applyBorder="1" applyAlignment="1">
      <alignment horizontal="center"/>
    </xf>
    <xf numFmtId="0" fontId="4" fillId="7" borderId="17" xfId="0" applyFont="1" applyFill="1" applyBorder="1"/>
    <xf numFmtId="0" fontId="4" fillId="7" borderId="18" xfId="0" applyFont="1" applyFill="1" applyBorder="1"/>
    <xf numFmtId="0" fontId="11" fillId="7" borderId="12" xfId="0" applyFont="1" applyFill="1" applyBorder="1" applyAlignment="1">
      <alignment horizontal="center"/>
    </xf>
    <xf numFmtId="0" fontId="11" fillId="7" borderId="17" xfId="0" applyFont="1" applyFill="1" applyBorder="1" applyAlignment="1">
      <alignment horizontal="center"/>
    </xf>
    <xf numFmtId="0" fontId="9" fillId="7" borderId="12" xfId="0" applyFont="1" applyFill="1" applyBorder="1" applyAlignment="1">
      <alignment horizontal="center"/>
    </xf>
    <xf numFmtId="0" fontId="8" fillId="7" borderId="12" xfId="0" applyFont="1" applyFill="1" applyBorder="1"/>
    <xf numFmtId="0" fontId="8" fillId="7" borderId="13" xfId="0" applyFont="1" applyFill="1" applyBorder="1"/>
    <xf numFmtId="0" fontId="8" fillId="7" borderId="15" xfId="0" applyFont="1" applyFill="1" applyBorder="1"/>
    <xf numFmtId="0" fontId="28" fillId="7" borderId="15" xfId="0" applyFont="1" applyFill="1" applyBorder="1"/>
    <xf numFmtId="0" fontId="9" fillId="7" borderId="17" xfId="0" applyFont="1" applyFill="1" applyBorder="1" applyAlignment="1">
      <alignment horizontal="center"/>
    </xf>
    <xf numFmtId="0" fontId="8" fillId="7" borderId="17" xfId="0" applyFont="1" applyFill="1" applyBorder="1"/>
    <xf numFmtId="0" fontId="8" fillId="7" borderId="18" xfId="0" applyFont="1" applyFill="1" applyBorder="1"/>
    <xf numFmtId="0" fontId="25" fillId="8" borderId="10" xfId="0" applyFont="1" applyFill="1" applyBorder="1"/>
    <xf numFmtId="0" fontId="23" fillId="7" borderId="11" xfId="0" applyFont="1" applyFill="1" applyBorder="1"/>
    <xf numFmtId="0" fontId="8" fillId="7" borderId="13" xfId="0" applyFont="1" applyFill="1" applyBorder="1" applyAlignment="1">
      <alignment horizontal="center"/>
    </xf>
    <xf numFmtId="0" fontId="23" fillId="7" borderId="14" xfId="0" applyFont="1" applyFill="1" applyBorder="1"/>
    <xf numFmtId="0" fontId="8" fillId="7" borderId="15" xfId="0" applyFont="1" applyFill="1" applyBorder="1" applyAlignment="1">
      <alignment horizontal="center"/>
    </xf>
    <xf numFmtId="0" fontId="9" fillId="7" borderId="15" xfId="0" applyFont="1" applyFill="1" applyBorder="1" applyAlignment="1">
      <alignment horizontal="center"/>
    </xf>
    <xf numFmtId="0" fontId="23" fillId="7" borderId="16" xfId="0" applyFont="1" applyFill="1" applyBorder="1"/>
    <xf numFmtId="0" fontId="9" fillId="7" borderId="18" xfId="0" applyFont="1" applyFill="1" applyBorder="1" applyAlignment="1">
      <alignment horizontal="center"/>
    </xf>
    <xf numFmtId="0" fontId="13" fillId="7" borderId="19" xfId="0" applyFont="1" applyFill="1" applyBorder="1" applyAlignment="1">
      <alignment horizontal="center"/>
    </xf>
    <xf numFmtId="0" fontId="25" fillId="8" borderId="8" xfId="0" applyFont="1" applyFill="1" applyBorder="1"/>
    <xf numFmtId="0" fontId="13" fillId="7" borderId="2" xfId="0" applyFont="1" applyFill="1" applyBorder="1"/>
    <xf numFmtId="0" fontId="15" fillId="7" borderId="20" xfId="0" applyFont="1" applyFill="1" applyBorder="1"/>
    <xf numFmtId="0" fontId="8" fillId="7" borderId="20" xfId="0" applyFont="1" applyFill="1" applyBorder="1"/>
    <xf numFmtId="0" fontId="8" fillId="7" borderId="21" xfId="0" applyFont="1" applyFill="1" applyBorder="1"/>
    <xf numFmtId="0" fontId="8" fillId="7" borderId="22" xfId="0" applyFont="1" applyFill="1" applyBorder="1"/>
    <xf numFmtId="1" fontId="23" fillId="8" borderId="11" xfId="0" applyNumberFormat="1" applyFont="1" applyFill="1" applyBorder="1" applyAlignment="1">
      <alignment horizontal="center"/>
    </xf>
    <xf numFmtId="1" fontId="23" fillId="8" borderId="12" xfId="0" applyNumberFormat="1" applyFont="1" applyFill="1" applyBorder="1" applyAlignment="1">
      <alignment horizontal="center"/>
    </xf>
    <xf numFmtId="1" fontId="23" fillId="8" borderId="12" xfId="0" applyNumberFormat="1" applyFont="1" applyFill="1" applyBorder="1"/>
    <xf numFmtId="1" fontId="23" fillId="8" borderId="14" xfId="0" applyNumberFormat="1" applyFont="1" applyFill="1" applyBorder="1" applyAlignment="1">
      <alignment horizontal="center"/>
    </xf>
    <xf numFmtId="1" fontId="23" fillId="8" borderId="3" xfId="0" applyNumberFormat="1" applyFont="1" applyFill="1" applyBorder="1" applyAlignment="1">
      <alignment horizontal="center"/>
    </xf>
    <xf numFmtId="1" fontId="23" fillId="8" borderId="3" xfId="0" applyNumberFormat="1" applyFont="1" applyFill="1" applyBorder="1"/>
    <xf numFmtId="1" fontId="23" fillId="8" borderId="16" xfId="0" applyNumberFormat="1" applyFont="1" applyFill="1" applyBorder="1" applyAlignment="1">
      <alignment horizontal="center"/>
    </xf>
    <xf numFmtId="1" fontId="23" fillId="8" borderId="17" xfId="0" applyNumberFormat="1" applyFont="1" applyFill="1" applyBorder="1" applyAlignment="1">
      <alignment horizontal="center"/>
    </xf>
    <xf numFmtId="1" fontId="23" fillId="8" borderId="17" xfId="0" applyNumberFormat="1" applyFont="1" applyFill="1" applyBorder="1"/>
    <xf numFmtId="1" fontId="30" fillId="8" borderId="12" xfId="0" applyNumberFormat="1" applyFont="1" applyFill="1" applyBorder="1" applyAlignment="1">
      <alignment horizontal="center"/>
    </xf>
    <xf numFmtId="1" fontId="30" fillId="8" borderId="3" xfId="0" applyNumberFormat="1" applyFont="1" applyFill="1" applyBorder="1" applyAlignment="1">
      <alignment horizontal="center"/>
    </xf>
    <xf numFmtId="1" fontId="30" fillId="8" borderId="17" xfId="0" applyNumberFormat="1" applyFont="1" applyFill="1" applyBorder="1" applyAlignment="1">
      <alignment horizontal="center"/>
    </xf>
    <xf numFmtId="1" fontId="21" fillId="8" borderId="12" xfId="0" applyNumberFormat="1" applyFont="1" applyFill="1" applyBorder="1" applyAlignment="1">
      <alignment horizontal="center"/>
    </xf>
    <xf numFmtId="1" fontId="21" fillId="8" borderId="3" xfId="0" applyNumberFormat="1" applyFont="1" applyFill="1" applyBorder="1" applyAlignment="1">
      <alignment horizontal="center"/>
    </xf>
    <xf numFmtId="1" fontId="21" fillId="8" borderId="17" xfId="0" applyNumberFormat="1" applyFont="1" applyFill="1" applyBorder="1" applyAlignment="1">
      <alignment horizontal="center"/>
    </xf>
    <xf numFmtId="1" fontId="21" fillId="8" borderId="13" xfId="0" applyNumberFormat="1" applyFont="1" applyFill="1" applyBorder="1"/>
    <xf numFmtId="1" fontId="21" fillId="8" borderId="15" xfId="0" applyNumberFormat="1" applyFont="1" applyFill="1" applyBorder="1"/>
    <xf numFmtId="1" fontId="21" fillId="8" borderId="18" xfId="0" applyNumberFormat="1" applyFont="1" applyFill="1" applyBorder="1"/>
    <xf numFmtId="0" fontId="11" fillId="7" borderId="11" xfId="0" applyFont="1" applyFill="1" applyBorder="1"/>
    <xf numFmtId="0" fontId="11" fillId="7" borderId="14" xfId="0" applyFont="1" applyFill="1" applyBorder="1"/>
    <xf numFmtId="0" fontId="15" fillId="7" borderId="3" xfId="0" applyFont="1" applyFill="1" applyBorder="1" applyAlignment="1">
      <alignment horizontal="right"/>
    </xf>
    <xf numFmtId="0" fontId="4" fillId="7" borderId="3" xfId="0" applyFont="1" applyFill="1" applyBorder="1" applyAlignment="1">
      <alignment horizontal="center" wrapText="1"/>
    </xf>
    <xf numFmtId="0" fontId="4" fillId="7" borderId="3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31" fillId="7" borderId="3" xfId="0" applyFont="1" applyFill="1" applyBorder="1" applyAlignment="1">
      <alignment horizontal="right"/>
    </xf>
    <xf numFmtId="0" fontId="0" fillId="7" borderId="3" xfId="0" applyFill="1" applyBorder="1" applyAlignment="1">
      <alignment horizontal="center" wrapText="1"/>
    </xf>
    <xf numFmtId="0" fontId="0" fillId="7" borderId="3" xfId="0" applyFill="1" applyBorder="1"/>
    <xf numFmtId="0" fontId="24" fillId="7" borderId="3" xfId="0" applyFont="1" applyFill="1" applyBorder="1"/>
    <xf numFmtId="0" fontId="27" fillId="7" borderId="3" xfId="0" applyFont="1" applyFill="1" applyBorder="1" applyAlignment="1">
      <alignment horizontal="center"/>
    </xf>
    <xf numFmtId="0" fontId="4" fillId="0" borderId="17" xfId="0" applyFont="1" applyBorder="1"/>
    <xf numFmtId="16" fontId="6" fillId="7" borderId="7" xfId="0" applyNumberFormat="1" applyFont="1" applyFill="1" applyBorder="1" applyAlignment="1">
      <alignment horizontal="left"/>
    </xf>
    <xf numFmtId="0" fontId="5" fillId="7" borderId="12" xfId="0" applyFont="1" applyFill="1" applyBorder="1"/>
    <xf numFmtId="0" fontId="5" fillId="7" borderId="3" xfId="0" applyFont="1" applyFill="1" applyBorder="1"/>
    <xf numFmtId="0" fontId="5" fillId="7" borderId="17" xfId="0" applyFont="1" applyFill="1" applyBorder="1"/>
    <xf numFmtId="0" fontId="5" fillId="7" borderId="1" xfId="0" applyFont="1" applyFill="1" applyBorder="1"/>
    <xf numFmtId="0" fontId="7" fillId="0" borderId="7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CL58"/>
  <sheetViews>
    <sheetView tabSelected="1" zoomScale="83" zoomScaleNormal="100" workbookViewId="0">
      <pane ySplit="1" topLeftCell="A2" activePane="bottomLeft" state="frozen"/>
      <selection pane="bottomLeft" activeCell="U21" sqref="U21"/>
    </sheetView>
  </sheetViews>
  <sheetFormatPr defaultRowHeight="14.4" x14ac:dyDescent="0.3"/>
  <cols>
    <col min="1" max="1" width="3" customWidth="1"/>
    <col min="2" max="2" width="35.109375" customWidth="1"/>
    <col min="3" max="3" width="9.109375" customWidth="1"/>
    <col min="4" max="4" width="5.21875" style="17" customWidth="1"/>
    <col min="5" max="5" width="3.21875" style="24" customWidth="1"/>
    <col min="6" max="6" width="7.109375" customWidth="1"/>
    <col min="7" max="7" width="3" style="24" customWidth="1"/>
    <col min="8" max="8" width="7.6640625" customWidth="1"/>
    <col min="9" max="9" width="3.44140625" style="24" customWidth="1"/>
    <col min="10" max="10" width="7.77734375" customWidth="1"/>
    <col min="11" max="11" width="3.21875" style="24" customWidth="1"/>
    <col min="12" max="12" width="5.21875" style="44" customWidth="1"/>
    <col min="13" max="13" width="3.44140625" style="12" customWidth="1"/>
    <col min="14" max="14" width="4.6640625" style="44" customWidth="1"/>
    <col min="15" max="15" width="4.6640625" style="12" customWidth="1"/>
    <col min="16" max="16" width="4.6640625" style="44" customWidth="1"/>
    <col min="17" max="17" width="4.6640625" style="12" customWidth="1"/>
    <col min="18" max="18" width="4.6640625" style="44" customWidth="1"/>
    <col min="19" max="19" width="4.6640625" style="12" customWidth="1"/>
    <col min="20" max="20" width="4.6640625" style="44" customWidth="1"/>
    <col min="21" max="21" width="4.6640625" style="12" customWidth="1"/>
    <col min="22" max="22" width="4.6640625" style="44" customWidth="1"/>
    <col min="23" max="23" width="4.6640625" style="12" customWidth="1"/>
    <col min="24" max="24" width="4.6640625" style="44" customWidth="1"/>
    <col min="25" max="25" width="4.6640625" style="12" customWidth="1"/>
    <col min="26" max="26" width="4.6640625" style="44" customWidth="1"/>
    <col min="27" max="27" width="4.6640625" style="12" customWidth="1"/>
    <col min="28" max="28" width="4.6640625" style="44" customWidth="1"/>
    <col min="29" max="29" width="4.6640625" style="12" customWidth="1"/>
    <col min="30" max="30" width="4.6640625" style="44" customWidth="1"/>
    <col min="31" max="31" width="4.6640625" style="12" customWidth="1"/>
    <col min="32" max="32" width="4.6640625" style="44" customWidth="1"/>
    <col min="33" max="33" width="4.6640625" style="12" customWidth="1"/>
    <col min="34" max="34" width="4.6640625" style="44" customWidth="1"/>
    <col min="35" max="35" width="4.6640625" style="12" customWidth="1"/>
    <col min="36" max="36" width="4.6640625" style="44" customWidth="1"/>
    <col min="37" max="37" width="4.6640625" style="12" customWidth="1"/>
    <col min="38" max="38" width="4.6640625" style="44" customWidth="1"/>
    <col min="39" max="39" width="4.6640625" style="12" customWidth="1"/>
    <col min="40" max="40" width="4.6640625" style="44" customWidth="1"/>
    <col min="41" max="41" width="4.6640625" style="12" customWidth="1"/>
    <col min="42" max="42" width="4.6640625" style="44" customWidth="1"/>
    <col min="43" max="43" width="4.6640625" style="12" customWidth="1"/>
    <col min="44" max="44" width="4.6640625" style="44" customWidth="1"/>
    <col min="45" max="45" width="4.6640625" style="12" customWidth="1"/>
    <col min="46" max="46" width="4.6640625" style="44" customWidth="1"/>
    <col min="47" max="47" width="4.6640625" style="12" customWidth="1"/>
    <col min="48" max="48" width="5.44140625" customWidth="1"/>
    <col min="49" max="49" width="4.6640625" style="12" customWidth="1"/>
    <col min="50" max="50" width="4.6640625" customWidth="1"/>
    <col min="51" max="51" width="4.6640625" style="12" customWidth="1"/>
    <col min="52" max="52" width="4.6640625" customWidth="1"/>
    <col min="53" max="53" width="4.6640625" style="12" customWidth="1"/>
    <col min="54" max="54" width="6.44140625" customWidth="1"/>
    <col min="55" max="55" width="4.6640625" style="12" customWidth="1"/>
    <col min="56" max="56" width="5.77734375" style="24" customWidth="1"/>
    <col min="57" max="57" width="4.6640625" style="12" customWidth="1"/>
    <col min="58" max="58" width="5.88671875" style="24" customWidth="1"/>
    <col min="59" max="59" width="4.21875" style="12" customWidth="1"/>
    <col min="60" max="60" width="5.21875" customWidth="1"/>
    <col min="61" max="61" width="7.33203125" style="24" customWidth="1"/>
    <col min="62" max="62" width="7.44140625" customWidth="1"/>
    <col min="63" max="63" width="3.6640625" style="24" customWidth="1"/>
    <col min="64" max="64" width="6.109375" customWidth="1"/>
    <col min="65" max="65" width="4.33203125" customWidth="1"/>
    <col min="66" max="66" width="56" customWidth="1"/>
    <col min="67" max="67" width="5" customWidth="1"/>
    <col min="68" max="68" width="4.6640625" customWidth="1"/>
    <col min="69" max="69" width="3" customWidth="1"/>
    <col min="70" max="70" width="4.6640625" customWidth="1"/>
    <col min="71" max="71" width="3" customWidth="1"/>
    <col min="72" max="72" width="4.6640625" customWidth="1"/>
    <col min="73" max="73" width="3" customWidth="1"/>
    <col min="74" max="74" width="4.6640625" customWidth="1"/>
    <col min="75" max="75" width="3" customWidth="1"/>
    <col min="76" max="76" width="4.6640625" customWidth="1"/>
    <col min="77" max="77" width="3" customWidth="1"/>
    <col min="78" max="78" width="4.6640625" customWidth="1"/>
    <col min="79" max="79" width="3" customWidth="1"/>
    <col min="80" max="80" width="4.6640625" customWidth="1"/>
    <col min="81" max="81" width="3" customWidth="1"/>
    <col min="82" max="82" width="4.6640625" customWidth="1"/>
    <col min="83" max="83" width="3" customWidth="1"/>
    <col min="84" max="84" width="4.6640625" customWidth="1"/>
    <col min="85" max="85" width="4.88671875" customWidth="1"/>
    <col min="86" max="86" width="9.109375" style="1"/>
  </cols>
  <sheetData>
    <row r="1" spans="1:86" s="2" customFormat="1" ht="21" customHeight="1" x14ac:dyDescent="0.3">
      <c r="A1" s="4" t="s">
        <v>0</v>
      </c>
      <c r="B1" s="5" t="s">
        <v>57</v>
      </c>
      <c r="C1" s="6">
        <v>45394</v>
      </c>
      <c r="D1" s="16" t="s">
        <v>87</v>
      </c>
      <c r="E1" s="7" t="s">
        <v>1</v>
      </c>
      <c r="F1" s="8" t="s">
        <v>2</v>
      </c>
      <c r="G1" s="7" t="s">
        <v>1</v>
      </c>
      <c r="H1" s="8" t="s">
        <v>2</v>
      </c>
      <c r="I1" s="7" t="s">
        <v>1</v>
      </c>
      <c r="J1" s="8" t="s">
        <v>2</v>
      </c>
      <c r="K1" s="7" t="s">
        <v>3</v>
      </c>
      <c r="L1" s="43" t="s">
        <v>4</v>
      </c>
      <c r="M1" s="19" t="s">
        <v>3</v>
      </c>
      <c r="N1" s="43" t="s">
        <v>4</v>
      </c>
      <c r="O1" s="19" t="s">
        <v>3</v>
      </c>
      <c r="P1" s="43" t="s">
        <v>4</v>
      </c>
      <c r="Q1" s="19" t="s">
        <v>3</v>
      </c>
      <c r="R1" s="43" t="s">
        <v>4</v>
      </c>
      <c r="S1" s="19" t="s">
        <v>3</v>
      </c>
      <c r="T1" s="43" t="s">
        <v>4</v>
      </c>
      <c r="U1" s="19" t="s">
        <v>3</v>
      </c>
      <c r="V1" s="43" t="s">
        <v>4</v>
      </c>
      <c r="W1" s="19" t="s">
        <v>3</v>
      </c>
      <c r="X1" s="43" t="s">
        <v>4</v>
      </c>
      <c r="Y1" s="19" t="s">
        <v>3</v>
      </c>
      <c r="Z1" s="43" t="s">
        <v>4</v>
      </c>
      <c r="AA1" s="19" t="s">
        <v>3</v>
      </c>
      <c r="AB1" s="43" t="s">
        <v>4</v>
      </c>
      <c r="AC1" s="19" t="s">
        <v>3</v>
      </c>
      <c r="AD1" s="43" t="s">
        <v>4</v>
      </c>
      <c r="AE1" s="19" t="s">
        <v>3</v>
      </c>
      <c r="AF1" s="43" t="s">
        <v>4</v>
      </c>
      <c r="AG1" s="19" t="s">
        <v>3</v>
      </c>
      <c r="AH1" s="43" t="s">
        <v>4</v>
      </c>
      <c r="AI1" s="19" t="s">
        <v>3</v>
      </c>
      <c r="AJ1" s="43" t="s">
        <v>4</v>
      </c>
      <c r="AK1" s="19" t="s">
        <v>3</v>
      </c>
      <c r="AL1" s="43" t="s">
        <v>4</v>
      </c>
      <c r="AM1" s="19" t="s">
        <v>3</v>
      </c>
      <c r="AN1" s="43" t="s">
        <v>4</v>
      </c>
      <c r="AO1" s="19" t="s">
        <v>3</v>
      </c>
      <c r="AP1" s="43" t="s">
        <v>4</v>
      </c>
      <c r="AQ1" s="19" t="s">
        <v>3</v>
      </c>
      <c r="AR1" s="43" t="s">
        <v>4</v>
      </c>
      <c r="AS1" s="19" t="s">
        <v>3</v>
      </c>
      <c r="AT1" s="43" t="s">
        <v>4</v>
      </c>
      <c r="AU1" s="19" t="s">
        <v>3</v>
      </c>
      <c r="AV1" s="45" t="s">
        <v>4</v>
      </c>
      <c r="AW1" s="19" t="s">
        <v>3</v>
      </c>
      <c r="AX1" s="45" t="s">
        <v>4</v>
      </c>
      <c r="AY1" s="19" t="s">
        <v>3</v>
      </c>
      <c r="AZ1" s="45" t="s">
        <v>4</v>
      </c>
      <c r="BA1" s="19" t="s">
        <v>3</v>
      </c>
      <c r="BB1" s="45" t="s">
        <v>4</v>
      </c>
      <c r="BC1" s="19" t="s">
        <v>3</v>
      </c>
      <c r="BD1" s="7" t="s">
        <v>4</v>
      </c>
      <c r="BE1" s="19" t="s">
        <v>3</v>
      </c>
      <c r="BF1" s="7" t="s">
        <v>4</v>
      </c>
      <c r="BG1" s="19" t="s">
        <v>3</v>
      </c>
      <c r="BH1" s="7" t="s">
        <v>4</v>
      </c>
      <c r="BI1" s="7" t="s">
        <v>3</v>
      </c>
      <c r="BJ1" s="7" t="s">
        <v>4</v>
      </c>
      <c r="BK1" s="7" t="s">
        <v>3</v>
      </c>
      <c r="BL1" s="7" t="s">
        <v>4</v>
      </c>
      <c r="BM1" s="7" t="s">
        <v>3</v>
      </c>
    </row>
    <row r="2" spans="1:86" ht="19.2" thickBot="1" x14ac:dyDescent="0.5">
      <c r="A2" s="179" t="s">
        <v>111</v>
      </c>
      <c r="B2" s="180"/>
      <c r="C2" s="180"/>
      <c r="D2" s="180"/>
      <c r="E2" s="180"/>
      <c r="F2" s="180"/>
      <c r="G2" s="178"/>
      <c r="H2" s="178"/>
      <c r="I2" s="180"/>
      <c r="J2" s="180"/>
      <c r="K2" s="180"/>
      <c r="L2" s="180"/>
      <c r="M2" s="180"/>
      <c r="N2" s="180"/>
      <c r="O2" s="180"/>
      <c r="P2" s="180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78"/>
      <c r="AT2" s="178"/>
      <c r="AU2" s="180"/>
      <c r="AV2" s="180"/>
      <c r="AW2" s="178"/>
      <c r="AX2" s="178"/>
      <c r="AY2" s="178"/>
      <c r="AZ2" s="178"/>
      <c r="BA2" s="178"/>
      <c r="BB2" s="178"/>
      <c r="BC2" s="178"/>
      <c r="BD2" s="178"/>
      <c r="BE2" s="178"/>
      <c r="BF2" s="178"/>
      <c r="BG2" s="178"/>
      <c r="BH2" s="178"/>
      <c r="BI2" s="178"/>
      <c r="BJ2" s="178"/>
      <c r="BK2" s="178"/>
      <c r="BL2" s="178"/>
      <c r="BM2" s="178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8"/>
      <c r="CB2" s="178"/>
      <c r="CC2" s="178"/>
      <c r="CD2" s="178"/>
      <c r="CE2" s="178"/>
      <c r="CF2" s="178"/>
      <c r="CG2" s="178"/>
      <c r="CH2" s="13"/>
    </row>
    <row r="3" spans="1:86" ht="15" customHeight="1" x14ac:dyDescent="0.3">
      <c r="A3" s="10">
        <v>1</v>
      </c>
      <c r="B3" s="30" t="s">
        <v>14</v>
      </c>
      <c r="C3" s="35" t="s">
        <v>15</v>
      </c>
      <c r="D3" s="101">
        <v>1768</v>
      </c>
      <c r="E3" s="94"/>
      <c r="F3" s="95"/>
      <c r="G3" s="95"/>
      <c r="H3" s="95"/>
      <c r="I3" s="96"/>
      <c r="J3" s="102"/>
      <c r="K3" s="141"/>
      <c r="L3" s="85"/>
      <c r="M3" s="86"/>
      <c r="N3" s="174"/>
      <c r="O3" s="86"/>
      <c r="P3" s="85"/>
      <c r="Q3" s="86"/>
      <c r="R3" s="85"/>
      <c r="S3" s="86"/>
      <c r="T3" s="85"/>
      <c r="U3" s="86"/>
      <c r="V3" s="85"/>
      <c r="W3" s="86"/>
      <c r="X3" s="85"/>
      <c r="Y3" s="86"/>
      <c r="Z3" s="85"/>
      <c r="AA3" s="86"/>
      <c r="AB3" s="85"/>
      <c r="AC3" s="86"/>
      <c r="AD3" s="85"/>
      <c r="AE3" s="86"/>
      <c r="AF3" s="85"/>
      <c r="AG3" s="86"/>
      <c r="AH3" s="85"/>
      <c r="AI3" s="86"/>
      <c r="AJ3" s="85"/>
      <c r="AK3" s="86"/>
      <c r="AL3" s="85"/>
      <c r="AM3" s="86"/>
      <c r="AN3" s="85"/>
      <c r="AO3" s="86"/>
      <c r="AP3" s="85"/>
      <c r="AQ3" s="86"/>
      <c r="AR3" s="85"/>
      <c r="AS3" s="86"/>
      <c r="AT3" s="85"/>
      <c r="AU3" s="86"/>
      <c r="AV3" s="87"/>
      <c r="AW3" s="105">
        <f>SUM(D3,E3,I3,-K3,-M3,-O3,-AI3,-AK3,-AM3,-AO3,-AQ3,-AU3,-Q3,-S3,-U3,-W3,-Y3,-AA3,-AC3,-AE3,-AG3,-AS3,G3)</f>
        <v>1768</v>
      </c>
      <c r="AX3" s="82"/>
      <c r="AY3" s="76"/>
      <c r="BD3" s="53"/>
    </row>
    <row r="4" spans="1:86" ht="15" customHeight="1" x14ac:dyDescent="0.3">
      <c r="A4" s="10">
        <v>2</v>
      </c>
      <c r="B4" s="30" t="s">
        <v>16</v>
      </c>
      <c r="C4" s="36" t="s">
        <v>17</v>
      </c>
      <c r="D4" s="101">
        <v>1768</v>
      </c>
      <c r="E4" s="97"/>
      <c r="F4" s="50"/>
      <c r="G4" s="50"/>
      <c r="H4" s="50"/>
      <c r="I4" s="49"/>
      <c r="J4" s="103"/>
      <c r="K4" s="60"/>
      <c r="L4" s="46"/>
      <c r="M4" s="20"/>
      <c r="N4" s="175"/>
      <c r="O4" s="20"/>
      <c r="P4" s="46"/>
      <c r="Q4" s="20"/>
      <c r="R4" s="46"/>
      <c r="S4" s="20"/>
      <c r="T4" s="46"/>
      <c r="U4" s="20"/>
      <c r="V4" s="46"/>
      <c r="W4" s="20"/>
      <c r="X4" s="46"/>
      <c r="Y4" s="20"/>
      <c r="Z4" s="46"/>
      <c r="AA4" s="20"/>
      <c r="AB4" s="46"/>
      <c r="AC4" s="20"/>
      <c r="AD4" s="46"/>
      <c r="AE4" s="20"/>
      <c r="AF4" s="46"/>
      <c r="AG4" s="20"/>
      <c r="AH4" s="46"/>
      <c r="AI4" s="20"/>
      <c r="AJ4" s="46"/>
      <c r="AK4" s="20"/>
      <c r="AL4" s="46"/>
      <c r="AM4" s="20"/>
      <c r="AN4" s="46"/>
      <c r="AO4" s="20"/>
      <c r="AP4" s="46"/>
      <c r="AQ4" s="20"/>
      <c r="AR4" s="46"/>
      <c r="AS4" s="20"/>
      <c r="AT4" s="46"/>
      <c r="AU4" s="20"/>
      <c r="AV4" s="89"/>
      <c r="AW4" s="105">
        <f>SUM(D4,E4,I4,-K4,-M4,-O4,-AI4,-AK4,-AM4,-AO4,-AQ4,-AU4,-Q4,-S4,-U4,-W4,-Y4,-AA4,-AC4,-AE4,-AG4,-AS4,G4)</f>
        <v>1768</v>
      </c>
      <c r="AX4" s="82"/>
      <c r="AY4" s="76"/>
    </row>
    <row r="5" spans="1:86" ht="15" customHeight="1" x14ac:dyDescent="0.3">
      <c r="A5" s="10">
        <v>3</v>
      </c>
      <c r="B5" s="30" t="s">
        <v>18</v>
      </c>
      <c r="C5" s="37" t="s">
        <v>19</v>
      </c>
      <c r="D5" s="101">
        <v>1768</v>
      </c>
      <c r="E5" s="97"/>
      <c r="F5" s="50"/>
      <c r="G5" s="50"/>
      <c r="H5" s="50"/>
      <c r="I5" s="49"/>
      <c r="J5" s="103"/>
      <c r="K5" s="60"/>
      <c r="L5" s="46"/>
      <c r="M5" s="20"/>
      <c r="N5" s="46"/>
      <c r="O5" s="20"/>
      <c r="P5" s="46"/>
      <c r="Q5" s="20"/>
      <c r="R5" s="46"/>
      <c r="S5" s="20"/>
      <c r="T5" s="46"/>
      <c r="U5" s="20"/>
      <c r="V5" s="46"/>
      <c r="W5" s="20"/>
      <c r="X5" s="46"/>
      <c r="Y5" s="20"/>
      <c r="Z5" s="46"/>
      <c r="AA5" s="20"/>
      <c r="AB5" s="46"/>
      <c r="AC5" s="20"/>
      <c r="AD5" s="46"/>
      <c r="AE5" s="20"/>
      <c r="AF5" s="46"/>
      <c r="AG5" s="20"/>
      <c r="AH5" s="46"/>
      <c r="AI5" s="20"/>
      <c r="AJ5" s="46"/>
      <c r="AK5" s="20"/>
      <c r="AL5" s="46"/>
      <c r="AM5" s="20"/>
      <c r="AN5" s="46"/>
      <c r="AO5" s="20"/>
      <c r="AP5" s="46"/>
      <c r="AQ5" s="20"/>
      <c r="AR5" s="46"/>
      <c r="AS5" s="20"/>
      <c r="AT5" s="46"/>
      <c r="AU5" s="20"/>
      <c r="AV5" s="89"/>
      <c r="AW5" s="105">
        <f>SUM(D5,E5,I5,-K5,-M5,-O5,-AI5,-AK5,-AM5,-AO5,-AQ5,-AU5,-Q5,-S5,-U5,-W5,-Y5,-AA5,-AC5,-AE5,-AG5,-AS5,G5)</f>
        <v>1768</v>
      </c>
      <c r="AX5" s="82"/>
      <c r="AY5" s="76"/>
    </row>
    <row r="6" spans="1:86" ht="15" customHeight="1" thickBot="1" x14ac:dyDescent="0.35">
      <c r="A6" s="10">
        <v>4</v>
      </c>
      <c r="B6" s="30" t="s">
        <v>20</v>
      </c>
      <c r="C6" s="38" t="s">
        <v>21</v>
      </c>
      <c r="D6" s="101">
        <v>1768</v>
      </c>
      <c r="E6" s="98"/>
      <c r="F6" s="99"/>
      <c r="G6" s="99"/>
      <c r="H6" s="99"/>
      <c r="I6" s="100"/>
      <c r="J6" s="104"/>
      <c r="K6" s="142"/>
      <c r="L6" s="91"/>
      <c r="M6" s="92"/>
      <c r="N6" s="91"/>
      <c r="O6" s="92"/>
      <c r="P6" s="91"/>
      <c r="Q6" s="92"/>
      <c r="R6" s="91"/>
      <c r="S6" s="92"/>
      <c r="T6" s="91"/>
      <c r="U6" s="92"/>
      <c r="V6" s="91"/>
      <c r="W6" s="92"/>
      <c r="X6" s="91"/>
      <c r="Y6" s="92"/>
      <c r="Z6" s="91"/>
      <c r="AA6" s="92"/>
      <c r="AB6" s="91"/>
      <c r="AC6" s="92"/>
      <c r="AD6" s="91"/>
      <c r="AE6" s="92"/>
      <c r="AF6" s="91"/>
      <c r="AG6" s="92"/>
      <c r="AH6" s="91"/>
      <c r="AI6" s="92"/>
      <c r="AJ6" s="91"/>
      <c r="AK6" s="92"/>
      <c r="AL6" s="91"/>
      <c r="AM6" s="92"/>
      <c r="AN6" s="91"/>
      <c r="AO6" s="92"/>
      <c r="AP6" s="91"/>
      <c r="AQ6" s="92"/>
      <c r="AR6" s="91"/>
      <c r="AS6" s="92"/>
      <c r="AT6" s="91"/>
      <c r="AU6" s="92"/>
      <c r="AV6" s="93"/>
      <c r="AW6" s="105">
        <f>SUM(D6,E6,I6,-K6,-M6,-O6,-AI6,-AK6,-AM6,-AO6,-AQ6,-AU6,-Q6,-S6,-U6,-W6,-Y6,-AA6,-AC6,-AE6,-AG6,-AS6,G6)</f>
        <v>1768</v>
      </c>
      <c r="AX6" s="82"/>
      <c r="AY6" s="173" t="s">
        <v>85</v>
      </c>
    </row>
    <row r="7" spans="1:86" ht="19.2" thickBot="1" x14ac:dyDescent="0.5">
      <c r="A7" s="179" t="s">
        <v>110</v>
      </c>
      <c r="B7" s="180"/>
      <c r="C7" s="180"/>
      <c r="D7" s="180"/>
      <c r="E7" s="180"/>
      <c r="F7" s="180"/>
      <c r="G7" s="178"/>
      <c r="H7" s="178"/>
      <c r="I7" s="180"/>
      <c r="J7" s="180"/>
      <c r="K7" s="180"/>
      <c r="L7" s="180"/>
      <c r="M7" s="180"/>
      <c r="N7" s="180"/>
      <c r="O7" s="180"/>
      <c r="P7" s="180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78"/>
      <c r="AT7" s="178"/>
      <c r="AU7" s="180"/>
      <c r="AV7" s="180"/>
      <c r="AW7" s="178"/>
      <c r="AX7" s="178"/>
      <c r="AY7" s="178"/>
      <c r="AZ7" s="178"/>
      <c r="BA7" s="178"/>
      <c r="BB7" s="178"/>
      <c r="BC7" s="178"/>
      <c r="BD7" s="178"/>
      <c r="BE7" s="178"/>
      <c r="BF7" s="178"/>
      <c r="BG7" s="178"/>
      <c r="BH7" s="178"/>
      <c r="BI7" s="178"/>
      <c r="BJ7" s="178"/>
      <c r="BK7" s="178"/>
      <c r="BL7" s="178"/>
      <c r="BM7" s="178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3"/>
    </row>
    <row r="8" spans="1:86" ht="17.399999999999999" x14ac:dyDescent="0.45">
      <c r="A8" s="10">
        <v>5</v>
      </c>
      <c r="B8" s="30" t="s">
        <v>22</v>
      </c>
      <c r="C8" s="35" t="s">
        <v>23</v>
      </c>
      <c r="D8" s="101">
        <v>926</v>
      </c>
      <c r="E8" s="94"/>
      <c r="F8" s="95"/>
      <c r="G8" s="95"/>
      <c r="H8" s="95"/>
      <c r="I8" s="96"/>
      <c r="J8" s="102"/>
      <c r="K8" s="106"/>
      <c r="L8" s="85"/>
      <c r="M8" s="107"/>
      <c r="N8" s="85"/>
      <c r="O8" s="107"/>
      <c r="P8" s="85"/>
      <c r="Q8" s="107"/>
      <c r="R8" s="85"/>
      <c r="S8" s="107"/>
      <c r="T8" s="85"/>
      <c r="U8" s="107"/>
      <c r="V8" s="85"/>
      <c r="W8" s="107"/>
      <c r="X8" s="85"/>
      <c r="Y8" s="107"/>
      <c r="Z8" s="85"/>
      <c r="AA8" s="107"/>
      <c r="AB8" s="85"/>
      <c r="AC8" s="107"/>
      <c r="AD8" s="85"/>
      <c r="AE8" s="107"/>
      <c r="AF8" s="85"/>
      <c r="AG8" s="107"/>
      <c r="AH8" s="85"/>
      <c r="AI8" s="107"/>
      <c r="AJ8" s="85"/>
      <c r="AK8" s="108"/>
      <c r="AL8" s="109"/>
      <c r="AM8" s="108"/>
      <c r="AN8" s="109"/>
      <c r="AO8" s="108"/>
      <c r="AP8" s="109"/>
      <c r="AQ8" s="108"/>
      <c r="AR8" s="109"/>
      <c r="AS8" s="108"/>
      <c r="AT8" s="109"/>
      <c r="AU8" s="108"/>
      <c r="AV8" s="110"/>
      <c r="AW8" s="83">
        <f>SUM(D8,E8,G8,I8,-K8,-M8,-O8,-Q8,-S8,-U8,-W8,-Y8,-AA8,-AC8,-AE8,-AG8,-AI8,-AK8,-AM8,-AO8,-AQ8,-AS8,-AU8)</f>
        <v>926</v>
      </c>
      <c r="AX8" s="82"/>
      <c r="AY8" s="76"/>
    </row>
    <row r="9" spans="1:86" ht="17.399999999999999" x14ac:dyDescent="0.45">
      <c r="A9" s="10">
        <v>6</v>
      </c>
      <c r="B9" s="30" t="s">
        <v>24</v>
      </c>
      <c r="C9" s="36" t="s">
        <v>25</v>
      </c>
      <c r="D9" s="101">
        <v>926</v>
      </c>
      <c r="E9" s="97"/>
      <c r="F9" s="50"/>
      <c r="G9" s="50"/>
      <c r="H9" s="50"/>
      <c r="I9" s="49"/>
      <c r="J9" s="103"/>
      <c r="K9" s="111"/>
      <c r="L9" s="46"/>
      <c r="M9" s="61"/>
      <c r="N9" s="46"/>
      <c r="O9" s="61"/>
      <c r="P9" s="46"/>
      <c r="Q9" s="61"/>
      <c r="R9" s="46"/>
      <c r="S9" s="61"/>
      <c r="T9" s="46"/>
      <c r="U9" s="61"/>
      <c r="V9" s="46"/>
      <c r="W9" s="61"/>
      <c r="X9" s="46"/>
      <c r="Y9" s="61"/>
      <c r="Z9" s="46"/>
      <c r="AA9" s="61"/>
      <c r="AB9" s="46"/>
      <c r="AC9" s="61"/>
      <c r="AD9" s="46"/>
      <c r="AE9" s="61"/>
      <c r="AF9" s="46"/>
      <c r="AG9" s="61"/>
      <c r="AH9" s="46"/>
      <c r="AI9" s="61"/>
      <c r="AJ9" s="46"/>
      <c r="AK9" s="75"/>
      <c r="AL9" s="9"/>
      <c r="AM9" s="75"/>
      <c r="AN9" s="9"/>
      <c r="AO9" s="75"/>
      <c r="AP9" s="9"/>
      <c r="AQ9" s="75"/>
      <c r="AR9" s="9"/>
      <c r="AS9" s="75"/>
      <c r="AT9" s="9"/>
      <c r="AU9" s="75"/>
      <c r="AV9" s="112"/>
      <c r="AW9" s="83">
        <f>SUM(D9,E9,G9,I9,-K9,-M9,-O9,-Q9,-S9,-U9,-W9,-Y9,-AA9,-AC9,-AE9,-AG9,-AI9,-AK9,-AM9,-AO9,-AQ9,-AS9,-AU9)</f>
        <v>926</v>
      </c>
      <c r="AX9" s="82"/>
      <c r="AY9" s="76"/>
    </row>
    <row r="10" spans="1:86" ht="17.399999999999999" x14ac:dyDescent="0.45">
      <c r="A10" s="10">
        <v>7</v>
      </c>
      <c r="B10" s="30" t="s">
        <v>26</v>
      </c>
      <c r="C10" s="37" t="s">
        <v>27</v>
      </c>
      <c r="D10" s="101">
        <v>926</v>
      </c>
      <c r="E10" s="97"/>
      <c r="F10" s="50"/>
      <c r="G10" s="50"/>
      <c r="H10" s="50"/>
      <c r="I10" s="49"/>
      <c r="J10" s="103"/>
      <c r="K10" s="111"/>
      <c r="L10" s="175"/>
      <c r="M10" s="61"/>
      <c r="N10" s="46"/>
      <c r="O10" s="61"/>
      <c r="P10" s="46"/>
      <c r="Q10" s="61"/>
      <c r="R10" s="46"/>
      <c r="S10" s="61"/>
      <c r="T10" s="46"/>
      <c r="U10" s="61"/>
      <c r="V10" s="46"/>
      <c r="W10" s="61"/>
      <c r="X10" s="46"/>
      <c r="Y10" s="61"/>
      <c r="Z10" s="46"/>
      <c r="AA10" s="61"/>
      <c r="AB10" s="46"/>
      <c r="AC10" s="61"/>
      <c r="AD10" s="46"/>
      <c r="AE10" s="61"/>
      <c r="AF10" s="46"/>
      <c r="AG10" s="61"/>
      <c r="AH10" s="46"/>
      <c r="AI10" s="61"/>
      <c r="AJ10" s="46"/>
      <c r="AK10" s="75"/>
      <c r="AL10" s="9"/>
      <c r="AM10" s="75"/>
      <c r="AN10" s="9"/>
      <c r="AO10" s="75"/>
      <c r="AP10" s="9"/>
      <c r="AQ10" s="75"/>
      <c r="AR10" s="9"/>
      <c r="AS10" s="75"/>
      <c r="AT10" s="9"/>
      <c r="AU10" s="75"/>
      <c r="AV10" s="112"/>
      <c r="AW10" s="83">
        <f>SUM(D10,E10,G10,I10,-K10,-M10,-O10,-Q10,-S10,-U10,-W10,-Y10,-AA10,-AC10,-AE10,-AG10,-AI10,-AK10,-AM10,-AO10,-AQ10,-AS10,-AU10)</f>
        <v>926</v>
      </c>
      <c r="AX10" s="82"/>
      <c r="AY10" s="76"/>
    </row>
    <row r="11" spans="1:86" ht="18" thickBot="1" x14ac:dyDescent="0.5">
      <c r="A11" s="10">
        <v>8</v>
      </c>
      <c r="B11" s="30" t="s">
        <v>28</v>
      </c>
      <c r="C11" s="38" t="s">
        <v>29</v>
      </c>
      <c r="D11" s="101">
        <v>926</v>
      </c>
      <c r="E11" s="98"/>
      <c r="F11" s="99"/>
      <c r="G11" s="99"/>
      <c r="H11" s="99"/>
      <c r="I11" s="100"/>
      <c r="J11" s="104"/>
      <c r="K11" s="113"/>
      <c r="L11" s="91"/>
      <c r="M11" s="114"/>
      <c r="N11" s="91"/>
      <c r="O11" s="114"/>
      <c r="P11" s="91"/>
      <c r="Q11" s="114"/>
      <c r="R11" s="91"/>
      <c r="S11" s="114"/>
      <c r="T11" s="91"/>
      <c r="U11" s="114"/>
      <c r="V11" s="91"/>
      <c r="W11" s="114"/>
      <c r="X11" s="91"/>
      <c r="Y11" s="114"/>
      <c r="Z11" s="91"/>
      <c r="AA11" s="114"/>
      <c r="AB11" s="91"/>
      <c r="AC11" s="114"/>
      <c r="AD11" s="91"/>
      <c r="AE11" s="114"/>
      <c r="AF11" s="91"/>
      <c r="AG11" s="114"/>
      <c r="AH11" s="91"/>
      <c r="AI11" s="114"/>
      <c r="AJ11" s="91"/>
      <c r="AK11" s="115"/>
      <c r="AL11" s="116"/>
      <c r="AM11" s="115"/>
      <c r="AN11" s="116"/>
      <c r="AO11" s="115"/>
      <c r="AP11" s="116"/>
      <c r="AQ11" s="115"/>
      <c r="AR11" s="116"/>
      <c r="AS11" s="115"/>
      <c r="AT11" s="116"/>
      <c r="AU11" s="115"/>
      <c r="AV11" s="117"/>
      <c r="AW11" s="83">
        <f>SUM(D11,E11,G11,I11,-K11,-M11,-O11,-Q11,-S11,-U11,-W11,-Y11,-AA11,-AC11,-AE11,-AG11,-AI11,-AK11,-AM11,-AO11,-AQ11,-AS11,-AU11)</f>
        <v>926</v>
      </c>
      <c r="AX11" s="82"/>
      <c r="AY11" s="76"/>
    </row>
    <row r="12" spans="1:86" ht="19.2" customHeight="1" thickBot="1" x14ac:dyDescent="0.5">
      <c r="A12" s="179" t="s">
        <v>58</v>
      </c>
      <c r="B12" s="180"/>
      <c r="C12" s="180"/>
      <c r="D12" s="180"/>
      <c r="E12" s="180"/>
      <c r="F12" s="180"/>
      <c r="G12" s="178"/>
      <c r="H12" s="178"/>
      <c r="I12" s="180"/>
      <c r="J12" s="180"/>
      <c r="K12" s="180"/>
      <c r="L12" s="180"/>
      <c r="M12" s="180"/>
      <c r="N12" s="180"/>
      <c r="O12" s="180"/>
      <c r="P12" s="180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78"/>
      <c r="AT12" s="178"/>
      <c r="AU12" s="180"/>
      <c r="AV12" s="180"/>
      <c r="AW12" s="178"/>
      <c r="AX12" s="178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78"/>
      <c r="BJ12" s="178"/>
      <c r="BK12" s="178"/>
      <c r="BL12" s="178"/>
      <c r="BM12" s="178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3"/>
    </row>
    <row r="13" spans="1:86" ht="15" customHeight="1" x14ac:dyDescent="0.45">
      <c r="A13" s="27">
        <v>9</v>
      </c>
      <c r="B13" s="30" t="s">
        <v>35</v>
      </c>
      <c r="C13" s="35" t="s">
        <v>36</v>
      </c>
      <c r="D13" s="101">
        <v>884</v>
      </c>
      <c r="E13" s="94"/>
      <c r="F13" s="95"/>
      <c r="G13" s="95"/>
      <c r="H13" s="95"/>
      <c r="I13" s="96"/>
      <c r="J13" s="102"/>
      <c r="K13" s="84"/>
      <c r="L13" s="85"/>
      <c r="M13" s="86"/>
      <c r="N13" s="174"/>
      <c r="O13" s="86"/>
      <c r="P13" s="174"/>
      <c r="Q13" s="86"/>
      <c r="R13" s="174"/>
      <c r="S13" s="86"/>
      <c r="T13" s="85"/>
      <c r="U13" s="86"/>
      <c r="V13" s="85"/>
      <c r="W13" s="86"/>
      <c r="X13" s="85"/>
      <c r="Y13" s="86"/>
      <c r="Z13" s="85"/>
      <c r="AA13" s="118"/>
      <c r="AB13" s="109"/>
      <c r="AC13" s="118"/>
      <c r="AD13" s="109"/>
      <c r="AE13" s="118"/>
      <c r="AF13" s="109"/>
      <c r="AG13" s="118"/>
      <c r="AH13" s="109"/>
      <c r="AI13" s="118"/>
      <c r="AJ13" s="109"/>
      <c r="AK13" s="118"/>
      <c r="AL13" s="109"/>
      <c r="AM13" s="118"/>
      <c r="AN13" s="109"/>
      <c r="AO13" s="118"/>
      <c r="AP13" s="109"/>
      <c r="AQ13" s="118"/>
      <c r="AR13" s="109"/>
      <c r="AS13" s="118"/>
      <c r="AT13" s="109"/>
      <c r="AU13" s="118"/>
      <c r="AV13" s="9"/>
      <c r="AW13" s="165"/>
      <c r="AX13" s="163"/>
      <c r="AY13" s="164"/>
      <c r="AZ13" s="9"/>
      <c r="BA13" s="165"/>
      <c r="BB13" s="9"/>
      <c r="BC13" s="165"/>
      <c r="BD13" s="9"/>
      <c r="BE13" s="165"/>
      <c r="BF13" s="9"/>
      <c r="BG13" s="83">
        <f t="shared" ref="BG13:BG18" si="0">SUM(D13,E13,I13,-K13,-M13,-O13,-AI13,-AK13,-AM13,-AO13,-AQ13,-AU13,-Q13,-S13,-U13,-W13,-Y13,-AA13,-AC13,-AE13,-AG13,-AS13,-AW13,-AY13,-BA13,-BC13,-BE13,G13)</f>
        <v>884</v>
      </c>
      <c r="BH13" s="42"/>
    </row>
    <row r="14" spans="1:86" ht="15" customHeight="1" x14ac:dyDescent="0.45">
      <c r="A14" s="27">
        <v>10</v>
      </c>
      <c r="B14" s="30" t="s">
        <v>37</v>
      </c>
      <c r="C14" s="36" t="s">
        <v>38</v>
      </c>
      <c r="D14" s="101">
        <v>884</v>
      </c>
      <c r="E14" s="97"/>
      <c r="F14" s="50"/>
      <c r="G14" s="50"/>
      <c r="H14" s="50"/>
      <c r="I14" s="49"/>
      <c r="J14" s="103"/>
      <c r="K14" s="88"/>
      <c r="L14" s="46"/>
      <c r="M14" s="20"/>
      <c r="N14" s="46"/>
      <c r="O14" s="20"/>
      <c r="P14" s="46"/>
      <c r="Q14" s="20"/>
      <c r="R14" s="175"/>
      <c r="S14" s="20"/>
      <c r="T14" s="175"/>
      <c r="U14" s="20"/>
      <c r="V14" s="175"/>
      <c r="W14" s="20"/>
      <c r="X14" s="175"/>
      <c r="Y14" s="20"/>
      <c r="Z14" s="46"/>
      <c r="AA14" s="14"/>
      <c r="AB14" s="9"/>
      <c r="AC14" s="20"/>
      <c r="AD14" s="46"/>
      <c r="AE14" s="20"/>
      <c r="AF14" s="46"/>
      <c r="AG14" s="20"/>
      <c r="AH14" s="46"/>
      <c r="AI14" s="14"/>
      <c r="AJ14" s="9"/>
      <c r="AK14" s="14"/>
      <c r="AL14" s="9"/>
      <c r="AM14" s="14"/>
      <c r="AN14" s="9"/>
      <c r="AO14" s="14"/>
      <c r="AP14" s="9"/>
      <c r="AQ14" s="14"/>
      <c r="AR14" s="9"/>
      <c r="AS14" s="14"/>
      <c r="AT14" s="9"/>
      <c r="AU14" s="14"/>
      <c r="AV14" s="9"/>
      <c r="AW14" s="54"/>
      <c r="AX14" s="163"/>
      <c r="AY14" s="164"/>
      <c r="AZ14" s="9"/>
      <c r="BA14" s="165"/>
      <c r="BB14" s="9"/>
      <c r="BC14" s="165"/>
      <c r="BD14" s="9"/>
      <c r="BE14" s="165"/>
      <c r="BF14" s="9"/>
      <c r="BG14" s="83">
        <f t="shared" si="0"/>
        <v>884</v>
      </c>
      <c r="BH14" s="42"/>
    </row>
    <row r="15" spans="1:86" ht="15" customHeight="1" x14ac:dyDescent="0.45">
      <c r="A15" s="27">
        <v>11</v>
      </c>
      <c r="B15" s="30" t="s">
        <v>39</v>
      </c>
      <c r="C15" s="37" t="s">
        <v>40</v>
      </c>
      <c r="D15" s="101">
        <v>884</v>
      </c>
      <c r="E15" s="97"/>
      <c r="F15" s="50"/>
      <c r="G15" s="50"/>
      <c r="H15" s="50"/>
      <c r="I15" s="49"/>
      <c r="J15" s="103"/>
      <c r="K15" s="88"/>
      <c r="L15" s="46"/>
      <c r="M15" s="20"/>
      <c r="N15" s="46"/>
      <c r="O15" s="20"/>
      <c r="P15" s="175"/>
      <c r="Q15" s="20"/>
      <c r="R15" s="175"/>
      <c r="S15" s="20"/>
      <c r="T15" s="175"/>
      <c r="U15" s="20"/>
      <c r="V15" s="175"/>
      <c r="W15" s="20"/>
      <c r="X15" s="46"/>
      <c r="Y15" s="20"/>
      <c r="Z15" s="46"/>
      <c r="AA15" s="20"/>
      <c r="AB15" s="46"/>
      <c r="AC15" s="20"/>
      <c r="AD15" s="46"/>
      <c r="AE15" s="20"/>
      <c r="AF15" s="46"/>
      <c r="AG15" s="20"/>
      <c r="AH15" s="46"/>
      <c r="AI15" s="14"/>
      <c r="AJ15" s="9"/>
      <c r="AK15" s="14"/>
      <c r="AL15" s="9"/>
      <c r="AM15" s="14"/>
      <c r="AN15" s="9"/>
      <c r="AO15" s="14"/>
      <c r="AP15" s="9"/>
      <c r="AQ15" s="14"/>
      <c r="AR15" s="9"/>
      <c r="AS15" s="14"/>
      <c r="AT15" s="9"/>
      <c r="AU15" s="14"/>
      <c r="AV15" s="9"/>
      <c r="AW15" s="54"/>
      <c r="AX15" s="163"/>
      <c r="AY15" s="164"/>
      <c r="AZ15" s="9"/>
      <c r="BA15" s="165"/>
      <c r="BB15" s="9"/>
      <c r="BC15" s="165"/>
      <c r="BD15" s="9"/>
      <c r="BE15" s="165"/>
      <c r="BF15" s="9"/>
      <c r="BG15" s="83">
        <f t="shared" si="0"/>
        <v>884</v>
      </c>
      <c r="BH15" s="42"/>
    </row>
    <row r="16" spans="1:86" ht="15" customHeight="1" x14ac:dyDescent="0.45">
      <c r="A16" s="27">
        <v>12</v>
      </c>
      <c r="B16" s="30" t="s">
        <v>41</v>
      </c>
      <c r="C16" s="38" t="s">
        <v>42</v>
      </c>
      <c r="D16" s="101">
        <v>884</v>
      </c>
      <c r="E16" s="97"/>
      <c r="F16" s="50"/>
      <c r="G16" s="50"/>
      <c r="H16" s="50"/>
      <c r="I16" s="49"/>
      <c r="J16" s="103"/>
      <c r="K16" s="88"/>
      <c r="L16" s="175"/>
      <c r="M16" s="20"/>
      <c r="N16" s="46"/>
      <c r="O16" s="20"/>
      <c r="P16" s="46"/>
      <c r="Q16" s="20"/>
      <c r="R16" s="46"/>
      <c r="S16" s="20"/>
      <c r="T16" s="46"/>
      <c r="U16" s="20"/>
      <c r="V16" s="46"/>
      <c r="W16" s="20"/>
      <c r="X16" s="46"/>
      <c r="Y16" s="20"/>
      <c r="Z16" s="46"/>
      <c r="AA16" s="14"/>
      <c r="AB16" s="9"/>
      <c r="AC16" s="14"/>
      <c r="AD16" s="9"/>
      <c r="AE16" s="14"/>
      <c r="AF16" s="9"/>
      <c r="AG16" s="14"/>
      <c r="AH16" s="9"/>
      <c r="AI16" s="14"/>
      <c r="AK16" s="14"/>
      <c r="AL16" s="9"/>
      <c r="AM16" s="14"/>
      <c r="AN16" s="9"/>
      <c r="AO16" s="14"/>
      <c r="AP16" s="9"/>
      <c r="AQ16" s="14"/>
      <c r="AR16" s="9"/>
      <c r="AS16" s="14"/>
      <c r="AT16" s="9"/>
      <c r="AU16" s="14"/>
      <c r="AV16" s="9"/>
      <c r="AW16" s="54"/>
      <c r="AX16" s="163"/>
      <c r="AY16" s="164"/>
      <c r="AZ16" s="9"/>
      <c r="BA16" s="165"/>
      <c r="BB16" s="9"/>
      <c r="BC16" s="165"/>
      <c r="BD16" s="9"/>
      <c r="BE16" s="165"/>
      <c r="BF16" s="9"/>
      <c r="BG16" s="83">
        <f t="shared" si="0"/>
        <v>884</v>
      </c>
      <c r="BH16" s="42"/>
    </row>
    <row r="17" spans="1:86" ht="15" customHeight="1" x14ac:dyDescent="0.45">
      <c r="A17" s="27">
        <v>13</v>
      </c>
      <c r="B17" s="30" t="s">
        <v>60</v>
      </c>
      <c r="C17" s="41" t="s">
        <v>62</v>
      </c>
      <c r="D17" s="101">
        <v>884</v>
      </c>
      <c r="E17" s="97"/>
      <c r="F17" s="50"/>
      <c r="G17" s="50"/>
      <c r="H17" s="50"/>
      <c r="I17" s="49"/>
      <c r="J17" s="103"/>
      <c r="K17" s="88"/>
      <c r="L17" s="46"/>
      <c r="M17" s="20"/>
      <c r="N17" s="46"/>
      <c r="O17" s="20"/>
      <c r="P17" s="46"/>
      <c r="Q17" s="20"/>
      <c r="R17" s="46"/>
      <c r="S17" s="20"/>
      <c r="T17" s="46"/>
      <c r="U17" s="20"/>
      <c r="V17" s="46"/>
      <c r="W17" s="20"/>
      <c r="X17" s="46"/>
      <c r="Y17" s="20"/>
      <c r="Z17" s="46"/>
      <c r="AA17" s="14"/>
      <c r="AB17" s="9"/>
      <c r="AC17" s="14"/>
      <c r="AD17" s="9"/>
      <c r="AE17" s="14"/>
      <c r="AF17" s="9"/>
      <c r="AG17" s="14"/>
      <c r="AH17" s="9"/>
      <c r="AI17" s="14"/>
      <c r="AJ17" s="9"/>
      <c r="AK17" s="14"/>
      <c r="AL17" s="9"/>
      <c r="AM17" s="14"/>
      <c r="AN17" s="9"/>
      <c r="AO17" s="14"/>
      <c r="AP17" s="9"/>
      <c r="AQ17" s="14"/>
      <c r="AR17" s="9"/>
      <c r="AS17" s="14"/>
      <c r="AT17" s="9"/>
      <c r="AU17" s="14"/>
      <c r="AV17" s="9"/>
      <c r="AW17" s="171"/>
      <c r="AX17" s="167"/>
      <c r="AY17" s="168"/>
      <c r="AZ17" s="169"/>
      <c r="BA17" s="166"/>
      <c r="BB17" s="169"/>
      <c r="BC17" s="166"/>
      <c r="BD17" s="169"/>
      <c r="BE17" s="166"/>
      <c r="BF17" s="169"/>
      <c r="BG17" s="83">
        <f t="shared" si="0"/>
        <v>884</v>
      </c>
      <c r="BH17" s="42"/>
    </row>
    <row r="18" spans="1:86" ht="15" customHeight="1" thickBot="1" x14ac:dyDescent="0.5">
      <c r="A18" s="27">
        <v>14</v>
      </c>
      <c r="B18" s="30" t="s">
        <v>59</v>
      </c>
      <c r="C18" s="40" t="s">
        <v>61</v>
      </c>
      <c r="D18" s="101">
        <v>884</v>
      </c>
      <c r="E18" s="98"/>
      <c r="F18" s="99"/>
      <c r="G18" s="99"/>
      <c r="H18" s="99"/>
      <c r="I18" s="100"/>
      <c r="J18" s="104"/>
      <c r="K18" s="90"/>
      <c r="L18" s="91"/>
      <c r="M18" s="92"/>
      <c r="N18" s="91"/>
      <c r="O18" s="92"/>
      <c r="P18" s="91"/>
      <c r="Q18" s="92"/>
      <c r="R18" s="91"/>
      <c r="S18" s="92"/>
      <c r="T18" s="91"/>
      <c r="U18" s="92"/>
      <c r="V18" s="91"/>
      <c r="W18" s="92"/>
      <c r="X18" s="91"/>
      <c r="Y18" s="92"/>
      <c r="Z18" s="91"/>
      <c r="AA18" s="119"/>
      <c r="AB18" s="116"/>
      <c r="AC18" s="119"/>
      <c r="AD18" s="116"/>
      <c r="AE18" s="119"/>
      <c r="AF18" s="116"/>
      <c r="AG18" s="119"/>
      <c r="AH18" s="116"/>
      <c r="AI18" s="119"/>
      <c r="AJ18" s="116"/>
      <c r="AK18" s="119"/>
      <c r="AL18" s="116"/>
      <c r="AM18" s="119"/>
      <c r="AN18" s="116"/>
      <c r="AO18" s="119"/>
      <c r="AP18" s="116"/>
      <c r="AQ18" s="119"/>
      <c r="AR18" s="116"/>
      <c r="AS18" s="119"/>
      <c r="AT18" s="116"/>
      <c r="AU18" s="119"/>
      <c r="AV18" s="9"/>
      <c r="AW18" s="171"/>
      <c r="AX18" s="167"/>
      <c r="AY18" s="170"/>
      <c r="AZ18" s="169"/>
      <c r="BA18" s="166"/>
      <c r="BB18" s="169"/>
      <c r="BC18" s="166"/>
      <c r="BD18" s="169"/>
      <c r="BE18" s="166"/>
      <c r="BF18" s="169"/>
      <c r="BG18" s="83">
        <f t="shared" si="0"/>
        <v>884</v>
      </c>
      <c r="BH18" s="42"/>
      <c r="BI18" s="24" t="s">
        <v>86</v>
      </c>
    </row>
    <row r="19" spans="1:86" ht="19.2" thickBot="1" x14ac:dyDescent="0.5">
      <c r="A19" s="178" t="s">
        <v>5</v>
      </c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8"/>
    </row>
    <row r="20" spans="1:86" ht="16.05" customHeight="1" x14ac:dyDescent="0.45">
      <c r="A20" s="28">
        <v>15</v>
      </c>
      <c r="B20" s="30" t="s">
        <v>6</v>
      </c>
      <c r="C20" s="35" t="s">
        <v>7</v>
      </c>
      <c r="D20" s="101">
        <v>905</v>
      </c>
      <c r="E20" s="94"/>
      <c r="F20" s="95"/>
      <c r="G20" s="95"/>
      <c r="H20" s="95"/>
      <c r="I20" s="96"/>
      <c r="J20" s="102"/>
      <c r="K20" s="84"/>
      <c r="L20" s="85"/>
      <c r="M20" s="120"/>
      <c r="N20" s="85"/>
      <c r="O20" s="86"/>
      <c r="P20" s="174"/>
      <c r="Q20" s="86"/>
      <c r="R20" s="85"/>
      <c r="S20" s="120"/>
      <c r="T20" s="85"/>
      <c r="U20" s="120"/>
      <c r="V20" s="85"/>
      <c r="W20" s="120"/>
      <c r="X20" s="85"/>
      <c r="Y20" s="120"/>
      <c r="Z20" s="85"/>
      <c r="AA20" s="120"/>
      <c r="AB20" s="85"/>
      <c r="AC20" s="120"/>
      <c r="AD20" s="85"/>
      <c r="AE20" s="120"/>
      <c r="AF20" s="85"/>
      <c r="AG20" s="120"/>
      <c r="AH20" s="85"/>
      <c r="AI20" s="120"/>
      <c r="AJ20" s="85"/>
      <c r="AK20" s="120"/>
      <c r="AL20" s="85"/>
      <c r="AM20" s="120"/>
      <c r="AN20" s="85"/>
      <c r="AO20" s="120"/>
      <c r="AP20" s="85"/>
      <c r="AQ20" s="120"/>
      <c r="AR20" s="85"/>
      <c r="AS20" s="120"/>
      <c r="AT20" s="85"/>
      <c r="AU20" s="120"/>
      <c r="AV20" s="85"/>
      <c r="AW20" s="120"/>
      <c r="AX20" s="85"/>
      <c r="AY20" s="120"/>
      <c r="AZ20" s="85"/>
      <c r="BA20" s="86"/>
      <c r="BB20" s="85"/>
      <c r="BC20" s="86"/>
      <c r="BD20" s="121"/>
      <c r="BE20" s="86"/>
      <c r="BF20" s="122"/>
      <c r="BG20" s="83">
        <f>SUM(D20,E20,I20,-K20,-M20,-O20,-AI20,-AK20,-AM20,-AO20,-AQ20,-AU20,-Q20,-S20,-U20,-W20,-Y20,-AA20,-AC20,-AE20,-AG20,-AS20,-AW20,G20,-AY20,-BA20,-BE20,-BC20)</f>
        <v>905</v>
      </c>
      <c r="BH20" s="82"/>
      <c r="BI20" s="78"/>
    </row>
    <row r="21" spans="1:86" ht="16.05" customHeight="1" x14ac:dyDescent="0.45">
      <c r="A21" s="28">
        <v>16</v>
      </c>
      <c r="B21" s="30" t="s">
        <v>8</v>
      </c>
      <c r="C21" s="36" t="s">
        <v>9</v>
      </c>
      <c r="D21" s="101">
        <v>905</v>
      </c>
      <c r="E21" s="97"/>
      <c r="F21" s="50"/>
      <c r="G21" s="50"/>
      <c r="H21" s="50"/>
      <c r="I21" s="49"/>
      <c r="J21" s="103"/>
      <c r="K21" s="88"/>
      <c r="L21" s="46"/>
      <c r="M21" s="20"/>
      <c r="N21" s="175"/>
      <c r="O21" s="20"/>
      <c r="P21" s="175"/>
      <c r="Q21" s="20"/>
      <c r="R21" s="46"/>
      <c r="S21" s="20"/>
      <c r="T21" s="46"/>
      <c r="U21" s="20"/>
      <c r="V21" s="46"/>
      <c r="W21" s="62"/>
      <c r="X21" s="46"/>
      <c r="Y21" s="62"/>
      <c r="Z21" s="46"/>
      <c r="AA21" s="62"/>
      <c r="AB21" s="54"/>
      <c r="AC21" s="62"/>
      <c r="AD21" s="46"/>
      <c r="AE21" s="62"/>
      <c r="AF21" s="46"/>
      <c r="AG21" s="62"/>
      <c r="AH21" s="46"/>
      <c r="AI21" s="62"/>
      <c r="AJ21" s="46"/>
      <c r="AK21" s="62"/>
      <c r="AL21" s="46"/>
      <c r="AM21" s="62"/>
      <c r="AN21" s="46"/>
      <c r="AO21" s="62"/>
      <c r="AP21" s="46"/>
      <c r="AQ21" s="62"/>
      <c r="AR21" s="46"/>
      <c r="AS21" s="62"/>
      <c r="AT21" s="46"/>
      <c r="AU21" s="62"/>
      <c r="AV21" s="46"/>
      <c r="AW21" s="62"/>
      <c r="AX21" s="46"/>
      <c r="AY21" s="62"/>
      <c r="AZ21" s="46"/>
      <c r="BA21" s="20"/>
      <c r="BB21" s="46"/>
      <c r="BC21" s="20"/>
      <c r="BD21" s="48"/>
      <c r="BE21" s="20"/>
      <c r="BF21" s="123"/>
      <c r="BG21" s="83">
        <f t="shared" ref="BG21:BG23" si="1">SUM(D21,E21,I21,-K21,-M21,-O21,-AI21,-AK21,-AM21,-AO21,-AQ21,-AU21,-Q21,-S21,-U21,-W21,-Y21,-AA21,-AC21,-AE21,-AG21,-AS21,-AW21,G21,-AY21,-BA21,-BE21,-BC21)</f>
        <v>905</v>
      </c>
      <c r="BH21" s="82"/>
      <c r="BK21" s="79"/>
    </row>
    <row r="22" spans="1:86" ht="16.05" customHeight="1" x14ac:dyDescent="0.45">
      <c r="A22" s="28">
        <v>17</v>
      </c>
      <c r="B22" s="30" t="s">
        <v>10</v>
      </c>
      <c r="C22" s="37" t="s">
        <v>11</v>
      </c>
      <c r="D22" s="101">
        <v>905</v>
      </c>
      <c r="E22" s="97"/>
      <c r="F22" s="50"/>
      <c r="G22" s="50"/>
      <c r="H22" s="50"/>
      <c r="I22" s="49"/>
      <c r="J22" s="103"/>
      <c r="K22" s="88"/>
      <c r="L22" s="46"/>
      <c r="M22" s="20"/>
      <c r="N22" s="46"/>
      <c r="O22" s="20"/>
      <c r="P22" s="46"/>
      <c r="Q22" s="62"/>
      <c r="R22" s="46"/>
      <c r="S22" s="62"/>
      <c r="T22" s="46"/>
      <c r="U22" s="62"/>
      <c r="V22" s="46"/>
      <c r="W22" s="20"/>
      <c r="X22" s="46"/>
      <c r="Y22" s="20"/>
      <c r="Z22" s="46"/>
      <c r="AA22" s="62"/>
      <c r="AB22" s="46"/>
      <c r="AC22" s="62"/>
      <c r="AD22" s="46"/>
      <c r="AE22" s="62"/>
      <c r="AF22" s="46"/>
      <c r="AG22" s="62"/>
      <c r="AH22" s="46"/>
      <c r="AI22" s="62"/>
      <c r="AJ22" s="46"/>
      <c r="AK22" s="62"/>
      <c r="AL22" s="46"/>
      <c r="AM22" s="62"/>
      <c r="AN22" s="46"/>
      <c r="AO22" s="62"/>
      <c r="AP22" s="46"/>
      <c r="AQ22" s="62"/>
      <c r="AR22" s="46"/>
      <c r="AS22" s="62"/>
      <c r="AT22" s="46"/>
      <c r="AU22" s="62"/>
      <c r="AV22" s="46"/>
      <c r="AW22" s="62"/>
      <c r="AX22" s="46"/>
      <c r="AY22" s="62"/>
      <c r="AZ22" s="46"/>
      <c r="BA22" s="20"/>
      <c r="BB22" s="46"/>
      <c r="BC22" s="20"/>
      <c r="BD22" s="48"/>
      <c r="BE22" s="20"/>
      <c r="BF22" s="124"/>
      <c r="BG22" s="83">
        <f>SUM(D22,E22,I22,-K22,-M22,-O22,-AI22,-AK22,-AM22,-AO22,-AQ22,-AU22,-Q22,-S22,-U22,-W22,-Y22,-AA22,-AC22,-AE22,-AG22,-AS22,-AW22,G22,-AY22,-BA22,-BE22,-BC22)</f>
        <v>905</v>
      </c>
      <c r="BH22" s="82"/>
      <c r="BI22" s="78"/>
    </row>
    <row r="23" spans="1:86" ht="16.05" customHeight="1" thickBot="1" x14ac:dyDescent="0.5">
      <c r="A23" s="28">
        <v>18</v>
      </c>
      <c r="B23" s="30" t="s">
        <v>12</v>
      </c>
      <c r="C23" s="38" t="s">
        <v>13</v>
      </c>
      <c r="D23" s="101">
        <v>905</v>
      </c>
      <c r="E23" s="98"/>
      <c r="F23" s="99"/>
      <c r="G23" s="99"/>
      <c r="H23" s="99"/>
      <c r="I23" s="100"/>
      <c r="J23" s="104"/>
      <c r="K23" s="90"/>
      <c r="L23" s="91"/>
      <c r="M23" s="92"/>
      <c r="N23" s="176"/>
      <c r="O23" s="125"/>
      <c r="P23" s="91"/>
      <c r="Q23" s="125"/>
      <c r="R23" s="91"/>
      <c r="S23" s="125"/>
      <c r="T23" s="172"/>
      <c r="U23" s="125"/>
      <c r="V23" s="91"/>
      <c r="W23" s="92"/>
      <c r="X23" s="91"/>
      <c r="Y23" s="92"/>
      <c r="Z23" s="91"/>
      <c r="AA23" s="92"/>
      <c r="AB23" s="91"/>
      <c r="AC23" s="92"/>
      <c r="AD23" s="91"/>
      <c r="AE23" s="125"/>
      <c r="AF23" s="91"/>
      <c r="AG23" s="125"/>
      <c r="AH23" s="91"/>
      <c r="AI23" s="125"/>
      <c r="AJ23" s="91"/>
      <c r="AK23" s="125"/>
      <c r="AL23" s="91"/>
      <c r="AM23" s="125"/>
      <c r="AN23" s="91"/>
      <c r="AO23" s="125"/>
      <c r="AP23" s="91"/>
      <c r="AQ23" s="125"/>
      <c r="AR23" s="91"/>
      <c r="AS23" s="125"/>
      <c r="AT23" s="91"/>
      <c r="AU23" s="125"/>
      <c r="AV23" s="91"/>
      <c r="AW23" s="125"/>
      <c r="AX23" s="91"/>
      <c r="AY23" s="125"/>
      <c r="AZ23" s="91"/>
      <c r="BA23" s="92"/>
      <c r="BB23" s="91"/>
      <c r="BC23" s="126"/>
      <c r="BD23" s="126"/>
      <c r="BE23" s="92"/>
      <c r="BF23" s="127"/>
      <c r="BG23" s="83">
        <f t="shared" si="1"/>
        <v>905</v>
      </c>
      <c r="BH23" s="82"/>
      <c r="BI23" s="78"/>
    </row>
    <row r="24" spans="1:86" ht="19.2" thickBot="1" x14ac:dyDescent="0.5">
      <c r="A24" s="179" t="s">
        <v>43</v>
      </c>
      <c r="B24" s="180"/>
      <c r="C24" s="180"/>
      <c r="D24" s="180"/>
      <c r="E24" s="180"/>
      <c r="F24" s="180"/>
      <c r="G24" s="178"/>
      <c r="H24" s="178"/>
      <c r="I24" s="180"/>
      <c r="J24" s="180"/>
      <c r="K24" s="180"/>
      <c r="L24" s="180"/>
      <c r="M24" s="180"/>
      <c r="N24" s="180"/>
      <c r="O24" s="180"/>
      <c r="P24" s="180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78"/>
      <c r="AT24" s="178"/>
      <c r="AU24" s="180"/>
      <c r="AV24" s="180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178"/>
      <c r="BT24" s="178"/>
      <c r="BU24" s="178"/>
      <c r="BV24" s="178"/>
      <c r="BW24" s="178"/>
      <c r="BX24" s="178"/>
      <c r="BY24" s="178"/>
      <c r="BZ24" s="178"/>
      <c r="CA24" s="178"/>
      <c r="CB24" s="178"/>
      <c r="CC24" s="178"/>
      <c r="CD24" s="178"/>
      <c r="CE24" s="178"/>
      <c r="CF24" s="178"/>
      <c r="CG24" s="178"/>
      <c r="CH24" s="18"/>
    </row>
    <row r="25" spans="1:86" ht="18" customHeight="1" x14ac:dyDescent="0.45">
      <c r="A25" s="10">
        <v>19</v>
      </c>
      <c r="B25" s="30" t="s">
        <v>81</v>
      </c>
      <c r="C25" s="35" t="s">
        <v>44</v>
      </c>
      <c r="D25" s="101">
        <v>905</v>
      </c>
      <c r="E25" s="94"/>
      <c r="F25" s="95"/>
      <c r="G25" s="95"/>
      <c r="H25" s="95"/>
      <c r="I25" s="96"/>
      <c r="J25" s="102"/>
      <c r="K25" s="60"/>
      <c r="L25" s="47"/>
      <c r="M25" s="21"/>
      <c r="N25" s="47"/>
      <c r="O25" s="21"/>
      <c r="P25" s="177"/>
      <c r="Q25" s="20"/>
      <c r="R25" s="175"/>
      <c r="S25" s="20"/>
      <c r="T25" s="175"/>
      <c r="U25" s="20"/>
      <c r="V25" s="175"/>
      <c r="W25" s="20"/>
      <c r="X25" s="46"/>
      <c r="Y25" s="20"/>
      <c r="Z25" s="46"/>
      <c r="AA25" s="20"/>
      <c r="AB25" s="46"/>
      <c r="AC25" s="20"/>
      <c r="AD25" s="46"/>
      <c r="AE25" s="20"/>
      <c r="AF25" s="46"/>
      <c r="AG25" s="20"/>
      <c r="AH25" s="46"/>
      <c r="AI25" s="21"/>
      <c r="AJ25" s="47"/>
      <c r="AK25" s="21"/>
      <c r="AL25" s="47"/>
      <c r="AM25" s="21"/>
      <c r="AN25" s="47"/>
      <c r="AO25" s="21"/>
      <c r="AP25" s="47"/>
      <c r="AQ25" s="21"/>
      <c r="AR25" s="47"/>
      <c r="AS25" s="59">
        <f>SUM(D25,E25,I25,-K25,-M25,-O25,-AI25,-AK25,-AM25,-AO25,-AQ25,-Q25,-S25,-U25,-W25,-Y25,-AA25,-AC25,-AE25,-AG25,G25)</f>
        <v>905</v>
      </c>
      <c r="AT25" s="82"/>
      <c r="AU25" s="76"/>
      <c r="AV25" s="52"/>
    </row>
    <row r="26" spans="1:86" ht="18" customHeight="1" x14ac:dyDescent="0.45">
      <c r="A26" s="10">
        <v>20</v>
      </c>
      <c r="B26" s="30" t="s">
        <v>82</v>
      </c>
      <c r="C26" s="36" t="s">
        <v>63</v>
      </c>
      <c r="D26" s="101">
        <v>905</v>
      </c>
      <c r="E26" s="97"/>
      <c r="F26" s="50"/>
      <c r="G26" s="50"/>
      <c r="H26" s="50"/>
      <c r="I26" s="49"/>
      <c r="J26" s="103"/>
      <c r="K26" s="60"/>
      <c r="L26" s="47"/>
      <c r="M26" s="21"/>
      <c r="N26" s="47"/>
      <c r="O26" s="21"/>
      <c r="P26" s="47"/>
      <c r="Q26" s="20"/>
      <c r="R26" s="175"/>
      <c r="S26" s="20"/>
      <c r="T26" s="175"/>
      <c r="U26" s="20"/>
      <c r="V26" s="175"/>
      <c r="W26" s="20"/>
      <c r="X26" s="46"/>
      <c r="Y26" s="20"/>
      <c r="Z26" s="46"/>
      <c r="AA26" s="20"/>
      <c r="AB26" s="46"/>
      <c r="AC26" s="20"/>
      <c r="AD26" s="46"/>
      <c r="AE26" s="20"/>
      <c r="AF26" s="46"/>
      <c r="AG26" s="20"/>
      <c r="AH26" s="46"/>
      <c r="AI26" s="21"/>
      <c r="AJ26" s="47"/>
      <c r="AK26" s="21"/>
      <c r="AL26" s="47"/>
      <c r="AM26" s="21"/>
      <c r="AN26" s="47"/>
      <c r="AO26" s="21"/>
      <c r="AP26" s="47"/>
      <c r="AQ26" s="21"/>
      <c r="AR26" s="47"/>
      <c r="AS26" s="59">
        <f>SUM(D26,E26,I26,-K26,-M26,-O26,-AI26,-AK26,-AM26,-AO26,-AQ26,-Q26,-S26,-U26,-W26,-Y26,-AA26,-AC26,-AE26,-AG26,G26)</f>
        <v>905</v>
      </c>
      <c r="AT26" s="82"/>
      <c r="AU26" s="76"/>
      <c r="AV26" s="52"/>
    </row>
    <row r="27" spans="1:86" ht="18" customHeight="1" x14ac:dyDescent="0.45">
      <c r="A27" s="10">
        <v>21</v>
      </c>
      <c r="B27" s="30" t="s">
        <v>83</v>
      </c>
      <c r="C27" s="37" t="s">
        <v>45</v>
      </c>
      <c r="D27" s="101">
        <v>905</v>
      </c>
      <c r="E27" s="97"/>
      <c r="F27" s="50"/>
      <c r="G27" s="50"/>
      <c r="H27" s="50"/>
      <c r="I27" s="49"/>
      <c r="J27" s="103"/>
      <c r="K27" s="60"/>
      <c r="L27" s="47"/>
      <c r="M27" s="21"/>
      <c r="N27" s="177"/>
      <c r="O27" s="21"/>
      <c r="P27" s="177"/>
      <c r="Q27" s="20"/>
      <c r="R27" s="175"/>
      <c r="S27" s="20"/>
      <c r="T27" s="46"/>
      <c r="U27" s="20"/>
      <c r="V27" s="46"/>
      <c r="W27" s="20"/>
      <c r="X27" s="46"/>
      <c r="Y27" s="20"/>
      <c r="Z27" s="46"/>
      <c r="AA27" s="20"/>
      <c r="AB27" s="46"/>
      <c r="AC27" s="20"/>
      <c r="AD27" s="46"/>
      <c r="AE27" s="20"/>
      <c r="AF27" s="46"/>
      <c r="AG27" s="20"/>
      <c r="AH27" s="46"/>
      <c r="AI27" s="21"/>
      <c r="AJ27" s="46"/>
      <c r="AK27" s="21"/>
      <c r="AL27" s="47"/>
      <c r="AM27" s="21"/>
      <c r="AN27" s="47"/>
      <c r="AO27" s="21"/>
      <c r="AP27" s="47"/>
      <c r="AQ27" s="21"/>
      <c r="AR27" s="47"/>
      <c r="AS27" s="59">
        <f>SUM(D27,E27,I27,-K27,-M27,-O27,-AI27,-AK27,-AM27,-AO27,-AQ27,-Q27,-S27,-U27,-W27,-Y27,-AA27,-AC27,-AE27,-AG27,G27)</f>
        <v>905</v>
      </c>
      <c r="AT27" s="82"/>
      <c r="AU27" s="76"/>
      <c r="AV27" s="52"/>
    </row>
    <row r="28" spans="1:86" ht="18" customHeight="1" thickBot="1" x14ac:dyDescent="0.5">
      <c r="A28" s="10">
        <v>22</v>
      </c>
      <c r="B28" s="30" t="s">
        <v>84</v>
      </c>
      <c r="C28" s="38" t="s">
        <v>64</v>
      </c>
      <c r="D28" s="101">
        <v>905</v>
      </c>
      <c r="E28" s="98"/>
      <c r="F28" s="99"/>
      <c r="G28" s="99"/>
      <c r="H28" s="99"/>
      <c r="I28" s="100"/>
      <c r="J28" s="104"/>
      <c r="K28" s="60"/>
      <c r="L28" s="47"/>
      <c r="M28" s="21"/>
      <c r="N28" s="177"/>
      <c r="O28" s="21"/>
      <c r="P28" s="177"/>
      <c r="Q28" s="20"/>
      <c r="R28" s="175"/>
      <c r="S28" s="20"/>
      <c r="T28" s="46"/>
      <c r="U28" s="20"/>
      <c r="V28" s="46"/>
      <c r="W28" s="20"/>
      <c r="X28" s="46"/>
      <c r="Y28" s="20"/>
      <c r="Z28" s="46"/>
      <c r="AA28" s="20"/>
      <c r="AB28" s="46"/>
      <c r="AC28" s="20"/>
      <c r="AD28" s="46"/>
      <c r="AE28" s="20"/>
      <c r="AF28" s="46"/>
      <c r="AG28" s="20"/>
      <c r="AH28" s="46"/>
      <c r="AI28" s="21"/>
      <c r="AJ28" s="47"/>
      <c r="AK28" s="21"/>
      <c r="AL28" s="47"/>
      <c r="AM28" s="21"/>
      <c r="AN28" s="47"/>
      <c r="AO28" s="21"/>
      <c r="AP28" s="47"/>
      <c r="AQ28" s="21"/>
      <c r="AR28" s="47"/>
      <c r="AS28" s="59">
        <f>SUM(D28,E28,I28,-K28,-M28,-O28,-AI28,-AK28,-AM28,-AO28,-AQ28,-Q28,-S28,-U28,-W28,-Y28,-AA28,-AC28,-AE28,-AG28,G28)</f>
        <v>905</v>
      </c>
      <c r="AT28" s="82"/>
      <c r="AU28" s="76"/>
      <c r="AV28" s="52"/>
      <c r="BB28" s="58"/>
    </row>
    <row r="29" spans="1:86" ht="19.2" thickBot="1" x14ac:dyDescent="0.5">
      <c r="A29" s="181" t="s">
        <v>30</v>
      </c>
      <c r="B29" s="181"/>
      <c r="C29" s="181"/>
      <c r="D29" s="181"/>
      <c r="E29" s="181"/>
      <c r="F29" s="181"/>
      <c r="G29" s="178"/>
      <c r="H29" s="178"/>
      <c r="I29" s="181"/>
      <c r="J29" s="181"/>
      <c r="K29" s="181"/>
      <c r="L29" s="181"/>
      <c r="M29" s="181"/>
      <c r="N29" s="181"/>
      <c r="O29" s="181"/>
      <c r="P29" s="181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78"/>
      <c r="AT29" s="178"/>
      <c r="AU29" s="181"/>
      <c r="AV29" s="181"/>
      <c r="AW29" s="178"/>
      <c r="AX29" s="178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78"/>
      <c r="BP29" s="178"/>
      <c r="BQ29" s="178"/>
      <c r="BR29" s="178"/>
      <c r="BS29" s="178"/>
      <c r="BT29" s="178"/>
      <c r="BU29" s="178"/>
      <c r="BV29" s="178"/>
      <c r="BW29" s="178"/>
      <c r="BX29" s="178"/>
      <c r="BY29" s="178"/>
      <c r="BZ29" s="178"/>
      <c r="CA29" s="178"/>
      <c r="CB29" s="178"/>
      <c r="CC29" s="178"/>
      <c r="CD29" s="178"/>
      <c r="CE29" s="178"/>
      <c r="CF29" s="178"/>
      <c r="CG29" s="178"/>
      <c r="CH29" s="13"/>
    </row>
    <row r="30" spans="1:86" ht="18" customHeight="1" x14ac:dyDescent="0.45">
      <c r="A30" s="10">
        <v>23</v>
      </c>
      <c r="B30" s="30" t="s">
        <v>91</v>
      </c>
      <c r="C30" s="35" t="s">
        <v>31</v>
      </c>
      <c r="D30" s="101">
        <v>1768</v>
      </c>
      <c r="E30" s="94"/>
      <c r="F30" s="95"/>
      <c r="G30" s="95"/>
      <c r="H30" s="95"/>
      <c r="I30" s="96"/>
      <c r="J30" s="102"/>
      <c r="K30" s="129"/>
      <c r="L30" s="85"/>
      <c r="M30" s="120"/>
      <c r="N30" s="174"/>
      <c r="O30" s="86"/>
      <c r="P30" s="85"/>
      <c r="Q30" s="120"/>
      <c r="R30" s="85"/>
      <c r="S30" s="120"/>
      <c r="T30" s="85"/>
      <c r="U30" s="120"/>
      <c r="V30" s="85"/>
      <c r="W30" s="120"/>
      <c r="X30" s="85"/>
      <c r="Y30" s="120"/>
      <c r="Z30" s="85"/>
      <c r="AA30" s="120"/>
      <c r="AB30" s="85"/>
      <c r="AC30" s="120"/>
      <c r="AD30" s="85"/>
      <c r="AE30" s="120"/>
      <c r="AF30" s="85"/>
      <c r="AG30" s="120"/>
      <c r="AH30" s="85"/>
      <c r="AI30" s="120"/>
      <c r="AJ30" s="85"/>
      <c r="AK30" s="120"/>
      <c r="AL30" s="85"/>
      <c r="AM30" s="86"/>
      <c r="AN30" s="85"/>
      <c r="AO30" s="120"/>
      <c r="AP30" s="85"/>
      <c r="AQ30" s="120"/>
      <c r="AR30" s="85"/>
      <c r="AS30" s="120"/>
      <c r="AT30" s="85"/>
      <c r="AU30" s="120"/>
      <c r="AV30" s="85"/>
      <c r="AW30" s="120"/>
      <c r="AX30" s="85"/>
      <c r="AY30" s="86"/>
      <c r="AZ30" s="85"/>
      <c r="BA30" s="120"/>
      <c r="BB30" s="85"/>
      <c r="BC30" s="120"/>
      <c r="BD30" s="121"/>
      <c r="BE30" s="86"/>
      <c r="BF30" s="121"/>
      <c r="BG30" s="130"/>
      <c r="BH30" s="128">
        <f>SUM(D30,E30,I30,-K30,-M30,-O30,-AI30,-AK30,-AM30,-AO30,-AQ30,-AU30,-Q30,-S30,-U30,-W30,-Y30,-AA30,-AC30,-AE30,-AG30,-AS30,-AW30,-AY30,G30,-BA30,-BC30,-BE30,-BG30)</f>
        <v>1768</v>
      </c>
      <c r="BI30" s="82"/>
      <c r="BJ30" s="51"/>
    </row>
    <row r="31" spans="1:86" ht="18" customHeight="1" x14ac:dyDescent="0.45">
      <c r="A31" s="10">
        <v>24</v>
      </c>
      <c r="B31" s="30" t="s">
        <v>90</v>
      </c>
      <c r="C31" s="36" t="s">
        <v>32</v>
      </c>
      <c r="D31" s="101">
        <v>1768</v>
      </c>
      <c r="E31" s="97"/>
      <c r="F31" s="50"/>
      <c r="G31" s="50"/>
      <c r="H31" s="50"/>
      <c r="I31" s="49"/>
      <c r="J31" s="103"/>
      <c r="K31" s="131"/>
      <c r="L31" s="46"/>
      <c r="M31" s="62"/>
      <c r="N31" s="175"/>
      <c r="O31" s="20"/>
      <c r="P31" s="46"/>
      <c r="Q31" s="62"/>
      <c r="R31" s="46"/>
      <c r="S31" s="20"/>
      <c r="T31" s="46"/>
      <c r="U31" s="20"/>
      <c r="V31" s="46"/>
      <c r="W31" s="62"/>
      <c r="X31" s="46"/>
      <c r="Y31" s="62"/>
      <c r="Z31" s="46"/>
      <c r="AA31" s="62"/>
      <c r="AB31" s="46"/>
      <c r="AC31" s="62"/>
      <c r="AD31" s="46"/>
      <c r="AE31" s="62"/>
      <c r="AF31" s="46"/>
      <c r="AG31" s="62"/>
      <c r="AH31" s="46"/>
      <c r="AI31" s="62"/>
      <c r="AJ31" s="46"/>
      <c r="AK31" s="62"/>
      <c r="AL31" s="46"/>
      <c r="AM31" s="62"/>
      <c r="AN31" s="46"/>
      <c r="AO31" s="62"/>
      <c r="AP31" s="46"/>
      <c r="AQ31" s="62"/>
      <c r="AR31" s="46"/>
      <c r="AS31" s="62"/>
      <c r="AT31" s="46"/>
      <c r="AU31" s="62"/>
      <c r="AV31" s="46"/>
      <c r="AW31" s="62"/>
      <c r="AX31" s="46"/>
      <c r="AY31" s="20"/>
      <c r="AZ31" s="46"/>
      <c r="BA31" s="20"/>
      <c r="BB31" s="46"/>
      <c r="BC31" s="20"/>
      <c r="BD31" s="48"/>
      <c r="BE31" s="20"/>
      <c r="BF31" s="48"/>
      <c r="BG31" s="132"/>
      <c r="BH31" s="128">
        <f>SUM(D31,E31,I31,-K31,-M31,-O31,-AI31,-AK31,-AM31,-AO31,-AQ31,-AU31,-Q31,-S31,-U31,-W31,-Y31,-AA31,-AC31,-AE31,-AG31,-AS31,-AW31,-AY31,G31,-BA31,-BC31,-BE31,-BG31)</f>
        <v>1768</v>
      </c>
      <c r="BI31" s="82"/>
      <c r="BJ31" s="51"/>
    </row>
    <row r="32" spans="1:86" ht="18" customHeight="1" x14ac:dyDescent="0.45">
      <c r="A32" s="10">
        <v>25</v>
      </c>
      <c r="B32" s="30" t="s">
        <v>89</v>
      </c>
      <c r="C32" s="37" t="s">
        <v>33</v>
      </c>
      <c r="D32" s="101">
        <v>1768</v>
      </c>
      <c r="E32" s="97"/>
      <c r="F32" s="50"/>
      <c r="G32" s="50"/>
      <c r="H32" s="50"/>
      <c r="I32" s="49"/>
      <c r="J32" s="103"/>
      <c r="K32" s="131"/>
      <c r="L32" s="46"/>
      <c r="M32" s="62"/>
      <c r="N32" s="46"/>
      <c r="O32" s="20"/>
      <c r="P32" s="46"/>
      <c r="Q32" s="62"/>
      <c r="R32" s="175"/>
      <c r="S32" s="20"/>
      <c r="T32" s="46"/>
      <c r="U32" s="20"/>
      <c r="V32" s="46"/>
      <c r="W32" s="62"/>
      <c r="X32" s="46"/>
      <c r="Y32" s="62"/>
      <c r="Z32" s="46"/>
      <c r="AA32" s="62"/>
      <c r="AB32" s="46"/>
      <c r="AC32" s="62"/>
      <c r="AD32" s="46"/>
      <c r="AE32" s="62"/>
      <c r="AF32" s="46"/>
      <c r="AG32" s="62"/>
      <c r="AH32" s="46"/>
      <c r="AI32" s="62"/>
      <c r="AJ32" s="46"/>
      <c r="AK32" s="62"/>
      <c r="AL32" s="46"/>
      <c r="AM32" s="62"/>
      <c r="AN32" s="46"/>
      <c r="AO32" s="62"/>
      <c r="AP32" s="46"/>
      <c r="AQ32" s="62"/>
      <c r="AR32" s="46"/>
      <c r="AS32" s="62"/>
      <c r="AT32" s="46"/>
      <c r="AU32" s="20"/>
      <c r="AV32" s="46"/>
      <c r="AW32" s="62"/>
      <c r="AX32" s="46"/>
      <c r="AY32" s="62"/>
      <c r="AZ32" s="46"/>
      <c r="BA32" s="62"/>
      <c r="BB32" s="46"/>
      <c r="BC32" s="62"/>
      <c r="BD32" s="48"/>
      <c r="BE32" s="62"/>
      <c r="BF32" s="48"/>
      <c r="BG32" s="133"/>
      <c r="BH32" s="128">
        <f>SUM(D32,E32,I32,-K32,-M32,-O32,-AI32,-AK32,-AM32,-AO32,-AQ32,-AU32,-Q32,-S32,-U32,-W32,-Y32,-AA32,-AC32,-AE32,-AG32,-AS32,-AW32,-AY32,G32,-BA32,-BC32,-BE32,-BG32)</f>
        <v>1768</v>
      </c>
      <c r="BI32" s="82"/>
      <c r="BJ32" s="51"/>
    </row>
    <row r="33" spans="1:90" ht="18" customHeight="1" thickBot="1" x14ac:dyDescent="0.5">
      <c r="A33" s="10">
        <v>26</v>
      </c>
      <c r="B33" s="30" t="s">
        <v>88</v>
      </c>
      <c r="C33" s="38" t="s">
        <v>34</v>
      </c>
      <c r="D33" s="101">
        <v>1768</v>
      </c>
      <c r="E33" s="98"/>
      <c r="F33" s="99"/>
      <c r="G33" s="99"/>
      <c r="H33" s="99"/>
      <c r="I33" s="100"/>
      <c r="J33" s="104"/>
      <c r="K33" s="134"/>
      <c r="L33" s="91"/>
      <c r="M33" s="125"/>
      <c r="N33" s="91"/>
      <c r="O33" s="92"/>
      <c r="P33" s="91"/>
      <c r="Q33" s="125"/>
      <c r="R33" s="91"/>
      <c r="S33" s="92"/>
      <c r="T33" s="91"/>
      <c r="U33" s="125"/>
      <c r="V33" s="91"/>
      <c r="W33" s="125"/>
      <c r="X33" s="91"/>
      <c r="Y33" s="125"/>
      <c r="Z33" s="91"/>
      <c r="AA33" s="125"/>
      <c r="AB33" s="91"/>
      <c r="AC33" s="125"/>
      <c r="AD33" s="91"/>
      <c r="AE33" s="125"/>
      <c r="AF33" s="91"/>
      <c r="AG33" s="125"/>
      <c r="AH33" s="91"/>
      <c r="AI33" s="125"/>
      <c r="AJ33" s="91"/>
      <c r="AK33" s="125"/>
      <c r="AL33" s="91"/>
      <c r="AM33" s="125"/>
      <c r="AN33" s="91"/>
      <c r="AO33" s="125"/>
      <c r="AP33" s="91"/>
      <c r="AQ33" s="125"/>
      <c r="AR33" s="91"/>
      <c r="AS33" s="125"/>
      <c r="AT33" s="91"/>
      <c r="AU33" s="125"/>
      <c r="AV33" s="91"/>
      <c r="AW33" s="125"/>
      <c r="AX33" s="91"/>
      <c r="AY33" s="125"/>
      <c r="AZ33" s="91"/>
      <c r="BA33" s="125"/>
      <c r="BB33" s="91"/>
      <c r="BC33" s="125"/>
      <c r="BD33" s="126"/>
      <c r="BE33" s="125"/>
      <c r="BF33" s="126"/>
      <c r="BG33" s="135"/>
      <c r="BH33" s="128">
        <f>SUM(D33,E33,I33,-K33,-M33,-O33,-AI33,-AK33,-AM33,-AO33,-AQ33,-AU33,-Q33,-S33,-U33,-W33,-Y33,-AA33,-AC33,-AE33,-AG33,-AS33,-AW33,-AY33,G33,-BA33,-BC33,-BE33,-BG33)</f>
        <v>1768</v>
      </c>
      <c r="BI33" s="82"/>
      <c r="BJ33" s="51"/>
    </row>
    <row r="34" spans="1:90" ht="19.2" thickBot="1" x14ac:dyDescent="0.5">
      <c r="A34" s="179" t="s">
        <v>50</v>
      </c>
      <c r="B34" s="180"/>
      <c r="C34" s="180"/>
      <c r="D34" s="180"/>
      <c r="E34" s="180"/>
      <c r="F34" s="180"/>
      <c r="G34" s="178"/>
      <c r="H34" s="178"/>
      <c r="I34" s="180"/>
      <c r="J34" s="180"/>
      <c r="K34" s="180"/>
      <c r="L34" s="180"/>
      <c r="M34" s="180"/>
      <c r="N34" s="180"/>
      <c r="O34" s="180"/>
      <c r="P34" s="180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78"/>
      <c r="AT34" s="178"/>
      <c r="AU34" s="180"/>
      <c r="AV34" s="180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  <c r="BQ34" s="178"/>
      <c r="BR34" s="178"/>
      <c r="BS34" s="178"/>
      <c r="BT34" s="178"/>
      <c r="BU34" s="178"/>
      <c r="BV34" s="178"/>
      <c r="BW34" s="178"/>
      <c r="BX34" s="178"/>
      <c r="BY34" s="178"/>
      <c r="BZ34" s="178"/>
      <c r="CA34" s="178"/>
      <c r="CB34" s="178"/>
      <c r="CC34" s="178"/>
      <c r="CD34" s="178"/>
      <c r="CE34" s="178"/>
      <c r="CF34" s="178"/>
      <c r="CG34" s="178"/>
      <c r="CH34" s="18"/>
    </row>
    <row r="35" spans="1:90" ht="18" customHeight="1" x14ac:dyDescent="0.45">
      <c r="A35" s="10">
        <v>27</v>
      </c>
      <c r="B35" s="30" t="s">
        <v>51</v>
      </c>
      <c r="C35" s="39" t="s">
        <v>52</v>
      </c>
      <c r="D35" s="101">
        <v>572</v>
      </c>
      <c r="E35" s="143"/>
      <c r="F35" s="152"/>
      <c r="G35" s="144"/>
      <c r="H35" s="155"/>
      <c r="I35" s="145"/>
      <c r="J35" s="158"/>
      <c r="K35" s="161"/>
      <c r="L35" s="109"/>
      <c r="M35" s="118"/>
      <c r="N35" s="109"/>
      <c r="O35" s="118"/>
      <c r="P35" s="109"/>
      <c r="Q35" s="118"/>
      <c r="R35" s="109"/>
      <c r="S35" s="118"/>
      <c r="T35" s="109"/>
      <c r="U35" s="118"/>
      <c r="V35" s="109"/>
      <c r="W35" s="118"/>
      <c r="X35" s="109"/>
      <c r="Y35" s="118"/>
      <c r="Z35" s="109"/>
      <c r="AA35" s="118"/>
      <c r="AB35" s="109"/>
      <c r="AC35" s="118"/>
      <c r="AD35" s="109"/>
      <c r="AE35" s="118"/>
      <c r="AF35" s="109"/>
      <c r="AG35" s="118"/>
      <c r="AH35" s="109"/>
      <c r="AI35" s="118"/>
      <c r="AJ35" s="109"/>
      <c r="AK35" s="118"/>
      <c r="AL35" s="109"/>
      <c r="AM35" s="118"/>
      <c r="AN35" s="109"/>
      <c r="AO35" s="118"/>
      <c r="AP35" s="109"/>
      <c r="AQ35" s="118"/>
      <c r="AR35" s="109"/>
      <c r="AS35" s="118"/>
      <c r="AT35" s="109"/>
      <c r="AU35" s="118"/>
      <c r="AV35" s="109"/>
      <c r="AW35" s="118"/>
      <c r="AX35" s="110"/>
      <c r="AY35" s="137">
        <f>SUM(D35,E35,I35,-K35,-M35,-O35,-AI35,-AK35,-AM35,-AO35,-AQ35,-AU35,-Q35,-S35,-U35,-W35,-Y35,-AA35,-AC35,-AE35,-AG35,-AS35,-AW35,G35)</f>
        <v>572</v>
      </c>
      <c r="AZ35" s="82"/>
      <c r="BA35" s="76"/>
    </row>
    <row r="36" spans="1:90" ht="18" customHeight="1" x14ac:dyDescent="0.45">
      <c r="A36" s="10">
        <v>28</v>
      </c>
      <c r="B36" s="30" t="s">
        <v>53</v>
      </c>
      <c r="C36" s="39" t="s">
        <v>54</v>
      </c>
      <c r="D36" s="101">
        <v>572</v>
      </c>
      <c r="E36" s="146"/>
      <c r="F36" s="153"/>
      <c r="G36" s="147"/>
      <c r="H36" s="156"/>
      <c r="I36" s="148"/>
      <c r="J36" s="159"/>
      <c r="K36" s="162"/>
      <c r="L36" s="9"/>
      <c r="M36" s="14"/>
      <c r="N36" s="9"/>
      <c r="O36" s="14"/>
      <c r="P36" s="9"/>
      <c r="Q36" s="14"/>
      <c r="R36" s="9"/>
      <c r="S36" s="14"/>
      <c r="T36" s="9"/>
      <c r="U36" s="14"/>
      <c r="V36" s="9"/>
      <c r="W36" s="14"/>
      <c r="X36" s="9"/>
      <c r="Y36" s="14"/>
      <c r="Z36" s="9"/>
      <c r="AA36" s="14"/>
      <c r="AB36" s="9"/>
      <c r="AC36" s="14"/>
      <c r="AD36" s="9"/>
      <c r="AE36" s="14"/>
      <c r="AF36" s="9"/>
      <c r="AG36" s="14"/>
      <c r="AI36" s="14"/>
      <c r="AJ36" s="9"/>
      <c r="AK36" s="14"/>
      <c r="AL36" s="9"/>
      <c r="AM36" s="14"/>
      <c r="AN36" s="9"/>
      <c r="AO36" s="14"/>
      <c r="AP36" s="9"/>
      <c r="AQ36" s="14"/>
      <c r="AR36" s="9"/>
      <c r="AS36" s="14"/>
      <c r="AT36" s="9"/>
      <c r="AU36" s="14"/>
      <c r="AV36" s="9"/>
      <c r="AW36" s="14"/>
      <c r="AX36" s="112"/>
      <c r="AY36" s="137">
        <f>SUM(D36,E36,I36,-K36,-M36,-O36,-AI36,-AK36,-AM36,-AO36,-AQ36,-AU36,-Q36,-S36,-U36,-W36,-Y36,-AA36,-AC36,-AE36,-AG36,-AS36,-AW36,G36)</f>
        <v>572</v>
      </c>
      <c r="AZ36" s="82"/>
      <c r="BA36" s="76"/>
    </row>
    <row r="37" spans="1:90" s="3" customFormat="1" ht="18" customHeight="1" x14ac:dyDescent="0.45">
      <c r="A37" s="69">
        <v>29</v>
      </c>
      <c r="B37" s="70" t="s">
        <v>55</v>
      </c>
      <c r="C37" s="71" t="s">
        <v>56</v>
      </c>
      <c r="D37" s="101">
        <v>572</v>
      </c>
      <c r="E37" s="146"/>
      <c r="F37" s="153"/>
      <c r="G37" s="147"/>
      <c r="H37" s="156"/>
      <c r="I37" s="148"/>
      <c r="J37" s="159"/>
      <c r="K37" s="88"/>
      <c r="L37" s="46"/>
      <c r="M37" s="20"/>
      <c r="N37" s="46"/>
      <c r="O37" s="20"/>
      <c r="P37" s="46"/>
      <c r="Q37" s="20"/>
      <c r="R37" s="46"/>
      <c r="S37" s="20"/>
      <c r="T37" s="46"/>
      <c r="U37" s="20"/>
      <c r="V37" s="46"/>
      <c r="W37" s="20"/>
      <c r="X37" s="46"/>
      <c r="Y37" s="20"/>
      <c r="Z37" s="46"/>
      <c r="AA37" s="20"/>
      <c r="AB37" s="46"/>
      <c r="AC37" s="20"/>
      <c r="AD37" s="46"/>
      <c r="AE37" s="20"/>
      <c r="AF37" s="46"/>
      <c r="AG37" s="20"/>
      <c r="AH37" s="46"/>
      <c r="AI37" s="20"/>
      <c r="AJ37" s="46"/>
      <c r="AK37" s="20"/>
      <c r="AL37" s="46"/>
      <c r="AM37" s="20"/>
      <c r="AN37" s="46"/>
      <c r="AO37" s="20"/>
      <c r="AP37" s="46"/>
      <c r="AQ37" s="20"/>
      <c r="AR37" s="46"/>
      <c r="AS37" s="20"/>
      <c r="AT37" s="46"/>
      <c r="AU37" s="20"/>
      <c r="AV37" s="46"/>
      <c r="AW37" s="20"/>
      <c r="AX37" s="89"/>
      <c r="AY37" s="137">
        <f>SUM(D37,E37,I37,-K37,-M37,-O37,-AI37,-AK37,-AM37,-AO37,-AQ37,-AU37,-Q37,-S37,-U37,-W37,-Y37,-AA37,-AC37,-AE37,-AG37,-AS37,-AW37,G37)</f>
        <v>572</v>
      </c>
      <c r="AZ37" s="82"/>
      <c r="BA37" s="76"/>
      <c r="BC37" s="77"/>
      <c r="BD37" s="25"/>
      <c r="BE37" s="77"/>
      <c r="BF37" s="25"/>
      <c r="BG37" s="77"/>
      <c r="BI37" s="25"/>
      <c r="BK37" s="25"/>
      <c r="CH37" s="18"/>
    </row>
    <row r="38" spans="1:90" s="3" customFormat="1" ht="18" customHeight="1" thickBot="1" x14ac:dyDescent="0.5">
      <c r="A38" s="69">
        <v>30</v>
      </c>
      <c r="B38" s="70" t="s">
        <v>74</v>
      </c>
      <c r="C38" s="71" t="s">
        <v>75</v>
      </c>
      <c r="D38" s="136">
        <v>884</v>
      </c>
      <c r="E38" s="149"/>
      <c r="F38" s="154"/>
      <c r="G38" s="150"/>
      <c r="H38" s="157"/>
      <c r="I38" s="151"/>
      <c r="J38" s="160"/>
      <c r="K38" s="90"/>
      <c r="L38" s="91"/>
      <c r="M38" s="92"/>
      <c r="N38" s="91"/>
      <c r="O38" s="92"/>
      <c r="P38" s="91"/>
      <c r="Q38" s="92"/>
      <c r="R38" s="91"/>
      <c r="S38" s="92"/>
      <c r="T38" s="91"/>
      <c r="U38" s="92"/>
      <c r="V38" s="91"/>
      <c r="W38" s="92"/>
      <c r="X38" s="91"/>
      <c r="Y38" s="92"/>
      <c r="Z38" s="91"/>
      <c r="AA38" s="92"/>
      <c r="AB38" s="91"/>
      <c r="AC38" s="92"/>
      <c r="AD38" s="91"/>
      <c r="AE38" s="92"/>
      <c r="AF38" s="91"/>
      <c r="AG38" s="92"/>
      <c r="AH38" s="91"/>
      <c r="AI38" s="92"/>
      <c r="AJ38" s="91"/>
      <c r="AK38" s="92"/>
      <c r="AL38" s="91"/>
      <c r="AM38" s="92"/>
      <c r="AN38" s="91"/>
      <c r="AO38" s="92"/>
      <c r="AP38" s="91"/>
      <c r="AQ38" s="92"/>
      <c r="AR38" s="91"/>
      <c r="AS38" s="92"/>
      <c r="AT38" s="91"/>
      <c r="AU38" s="92"/>
      <c r="AV38" s="91"/>
      <c r="AW38" s="92"/>
      <c r="AX38" s="93"/>
      <c r="AY38" s="137">
        <f>SUM(D38,E38,I38,-K38,-M38,-O38,-AI38,-AK38,-AM38,-AO38,-AQ38,-AU38,-Q38,-S38,-U38,-W38,-Y38,-AA38,-AC38,-AE38,-AG38,-AS38,-AW38,G38)</f>
        <v>884</v>
      </c>
      <c r="AZ38" s="82"/>
      <c r="BA38" s="76"/>
      <c r="BC38" s="77"/>
      <c r="BD38" s="25"/>
      <c r="BE38" s="77"/>
      <c r="BF38" s="25"/>
      <c r="BG38" s="77"/>
      <c r="BI38" s="25"/>
      <c r="BK38" s="25"/>
      <c r="CH38" s="18"/>
    </row>
    <row r="39" spans="1:90" ht="16.05" customHeight="1" thickBot="1" x14ac:dyDescent="0.5">
      <c r="A39" s="179" t="s">
        <v>65</v>
      </c>
      <c r="B39" s="180"/>
      <c r="C39" s="180"/>
      <c r="D39" s="180"/>
      <c r="E39" s="180"/>
      <c r="F39" s="180"/>
      <c r="G39" s="178"/>
      <c r="H39" s="178"/>
      <c r="I39" s="180"/>
      <c r="J39" s="180"/>
      <c r="K39" s="180"/>
      <c r="L39" s="180"/>
      <c r="M39" s="180"/>
      <c r="N39" s="180"/>
      <c r="O39" s="180"/>
      <c r="P39" s="180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80"/>
      <c r="AJ39" s="180"/>
      <c r="AK39" s="180"/>
      <c r="AL39" s="180"/>
      <c r="AM39" s="180"/>
      <c r="AN39" s="180"/>
      <c r="AO39" s="180"/>
      <c r="AP39" s="180"/>
      <c r="AQ39" s="180"/>
      <c r="AR39" s="180"/>
      <c r="AS39" s="178"/>
      <c r="AT39" s="178"/>
      <c r="AU39" s="180"/>
      <c r="AV39" s="180"/>
      <c r="AW39" s="178"/>
      <c r="AX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8"/>
      <c r="BI39" s="178"/>
      <c r="BJ39" s="178"/>
      <c r="BK39" s="178"/>
      <c r="BL39" s="178"/>
      <c r="BM39" s="178"/>
      <c r="BN39" s="178"/>
      <c r="BO39" s="178"/>
      <c r="BP39" s="178"/>
      <c r="BQ39" s="178"/>
      <c r="BR39" s="178"/>
      <c r="BS39" s="178"/>
      <c r="BT39" s="178"/>
      <c r="BU39" s="178"/>
      <c r="BV39" s="178"/>
      <c r="BW39" s="178"/>
      <c r="BX39" s="178"/>
      <c r="BY39" s="178"/>
      <c r="BZ39" s="178"/>
      <c r="CA39" s="178"/>
      <c r="CB39" s="178"/>
      <c r="CC39" s="178"/>
      <c r="CD39" s="178"/>
      <c r="CE39" s="178"/>
      <c r="CF39" s="178"/>
      <c r="CG39" s="178"/>
      <c r="CH39" s="13"/>
    </row>
    <row r="40" spans="1:90" ht="15" customHeight="1" x14ac:dyDescent="0.45">
      <c r="A40" s="10">
        <v>31</v>
      </c>
      <c r="B40" s="30" t="s">
        <v>93</v>
      </c>
      <c r="C40" s="35" t="s">
        <v>46</v>
      </c>
      <c r="D40" s="138">
        <v>1410</v>
      </c>
      <c r="E40" s="94"/>
      <c r="F40" s="95"/>
      <c r="G40" s="95"/>
      <c r="H40" s="95"/>
      <c r="I40" s="96"/>
      <c r="J40" s="102"/>
      <c r="K40" s="84"/>
      <c r="L40" s="85"/>
      <c r="M40" s="86"/>
      <c r="N40" s="85"/>
      <c r="O40" s="86"/>
      <c r="P40" s="85"/>
      <c r="Q40" s="86"/>
      <c r="R40" s="85"/>
      <c r="S40" s="86"/>
      <c r="T40" s="85"/>
      <c r="U40" s="86"/>
      <c r="V40" s="85"/>
      <c r="W40" s="86"/>
      <c r="X40" s="85"/>
      <c r="Y40" s="86"/>
      <c r="Z40" s="85"/>
      <c r="AA40" s="86"/>
      <c r="AB40" s="85"/>
      <c r="AC40" s="86"/>
      <c r="AD40" s="85"/>
      <c r="AE40" s="86"/>
      <c r="AF40" s="85"/>
      <c r="AG40" s="86"/>
      <c r="AH40" s="85"/>
      <c r="AI40" s="86"/>
      <c r="AJ40" s="85"/>
      <c r="AK40" s="86"/>
      <c r="AL40" s="85"/>
      <c r="AM40" s="86"/>
      <c r="AN40" s="85"/>
      <c r="AO40" s="86"/>
      <c r="AP40" s="85"/>
      <c r="AQ40" s="86"/>
      <c r="AR40" s="85"/>
      <c r="AS40" s="86"/>
      <c r="AT40" s="85"/>
      <c r="AU40" s="86"/>
      <c r="AV40" s="85"/>
      <c r="AW40" s="86"/>
      <c r="AX40" s="85"/>
      <c r="AY40" s="86"/>
      <c r="AZ40" s="85"/>
      <c r="BA40" s="86"/>
      <c r="BB40" s="85"/>
      <c r="BC40" s="86"/>
      <c r="BD40" s="121"/>
      <c r="BE40" s="121"/>
      <c r="BF40" s="121"/>
      <c r="BG40" s="121"/>
      <c r="BH40" s="139"/>
      <c r="BI40" s="140"/>
      <c r="BJ40" s="139"/>
      <c r="BK40" s="122"/>
      <c r="BL40" s="128">
        <f t="shared" ref="BL40:BL41" si="2">SUM(D40,E40,I40,-K40,-M40,-O40,-AI40,-AK40,-AM40,-AO40,-AQ40,-AU40,-Q40,-S40,-U40,-W40,-Y40,-AA40,-AC40,-AE40,-AG40,-AS40,-AW40,G40,-AY40,-BA40,-BC40,-BE40,-BG40,-BI40,-BK40)</f>
        <v>1410</v>
      </c>
      <c r="BM40" s="82"/>
      <c r="BN40" s="56"/>
      <c r="CH40"/>
      <c r="CL40" s="1"/>
    </row>
    <row r="41" spans="1:90" ht="15" customHeight="1" x14ac:dyDescent="0.45">
      <c r="A41" s="10">
        <v>32</v>
      </c>
      <c r="B41" s="30" t="s">
        <v>92</v>
      </c>
      <c r="C41" s="36" t="s">
        <v>47</v>
      </c>
      <c r="D41" s="138">
        <v>1410</v>
      </c>
      <c r="E41" s="97"/>
      <c r="F41" s="50"/>
      <c r="G41" s="50"/>
      <c r="H41" s="50"/>
      <c r="I41" s="49"/>
      <c r="J41" s="103"/>
      <c r="K41" s="88"/>
      <c r="L41" s="46"/>
      <c r="M41" s="20"/>
      <c r="N41" s="46"/>
      <c r="O41" s="20"/>
      <c r="P41" s="46"/>
      <c r="Q41" s="20"/>
      <c r="R41" s="46"/>
      <c r="S41" s="20"/>
      <c r="T41" s="46"/>
      <c r="U41" s="20"/>
      <c r="V41" s="46"/>
      <c r="W41" s="20"/>
      <c r="X41" s="46"/>
      <c r="Y41" s="20"/>
      <c r="Z41" s="46"/>
      <c r="AA41" s="20"/>
      <c r="AB41" s="46"/>
      <c r="AC41" s="20"/>
      <c r="AD41" s="46"/>
      <c r="AE41" s="20"/>
      <c r="AF41" s="46"/>
      <c r="AG41" s="20"/>
      <c r="AH41" s="46"/>
      <c r="AI41" s="20"/>
      <c r="AJ41" s="46"/>
      <c r="AK41" s="20"/>
      <c r="AL41" s="46"/>
      <c r="AM41" s="20"/>
      <c r="AN41" s="46"/>
      <c r="AO41" s="20"/>
      <c r="AP41" s="46"/>
      <c r="AQ41" s="20"/>
      <c r="AR41" s="46"/>
      <c r="AS41" s="20"/>
      <c r="AT41" s="46"/>
      <c r="AU41" s="20"/>
      <c r="AV41" s="46"/>
      <c r="AW41" s="20"/>
      <c r="AX41" s="46"/>
      <c r="AY41" s="20"/>
      <c r="AZ41" s="46"/>
      <c r="BA41" s="20"/>
      <c r="BB41" s="46"/>
      <c r="BC41" s="20"/>
      <c r="BD41" s="48"/>
      <c r="BE41" s="48"/>
      <c r="BF41" s="48"/>
      <c r="BG41" s="48"/>
      <c r="BH41" s="80"/>
      <c r="BI41" s="81"/>
      <c r="BJ41" s="80"/>
      <c r="BK41" s="123"/>
      <c r="BL41" s="128">
        <f t="shared" si="2"/>
        <v>1410</v>
      </c>
      <c r="BM41" s="82"/>
      <c r="BN41" s="64"/>
      <c r="CH41"/>
      <c r="CL41" s="1"/>
    </row>
    <row r="42" spans="1:90" ht="15" customHeight="1" x14ac:dyDescent="0.45">
      <c r="A42" s="10">
        <v>33</v>
      </c>
      <c r="B42" s="30" t="s">
        <v>94</v>
      </c>
      <c r="C42" s="37" t="s">
        <v>48</v>
      </c>
      <c r="D42" s="138">
        <v>1410</v>
      </c>
      <c r="E42" s="97"/>
      <c r="F42" s="50"/>
      <c r="G42" s="50"/>
      <c r="H42" s="50"/>
      <c r="I42" s="49"/>
      <c r="J42" s="103"/>
      <c r="K42" s="88"/>
      <c r="L42" s="46"/>
      <c r="M42" s="20"/>
      <c r="N42" s="46"/>
      <c r="O42" s="20"/>
      <c r="P42" s="46"/>
      <c r="Q42" s="20"/>
      <c r="R42" s="46"/>
      <c r="S42" s="20"/>
      <c r="T42" s="46"/>
      <c r="U42" s="20"/>
      <c r="V42" s="46"/>
      <c r="W42" s="20"/>
      <c r="X42" s="46"/>
      <c r="Y42" s="20"/>
      <c r="Z42" s="46"/>
      <c r="AA42" s="20"/>
      <c r="AB42" s="46"/>
      <c r="AC42" s="20"/>
      <c r="AD42" s="46"/>
      <c r="AE42" s="20"/>
      <c r="AF42" s="46"/>
      <c r="AG42" s="20"/>
      <c r="AH42" s="46"/>
      <c r="AI42" s="20"/>
      <c r="AJ42" s="46"/>
      <c r="AK42" s="20"/>
      <c r="AL42" s="46"/>
      <c r="AM42" s="20"/>
      <c r="AN42" s="46"/>
      <c r="AO42" s="20"/>
      <c r="AP42" s="46"/>
      <c r="AQ42" s="20"/>
      <c r="AR42" s="46"/>
      <c r="AS42" s="20"/>
      <c r="AT42" s="46"/>
      <c r="AU42" s="20"/>
      <c r="AV42" s="46"/>
      <c r="AW42" s="20"/>
      <c r="AX42" s="46"/>
      <c r="AY42" s="20"/>
      <c r="AZ42" s="46"/>
      <c r="BA42" s="20"/>
      <c r="BB42" s="46"/>
      <c r="BC42" s="20"/>
      <c r="BD42" s="48"/>
      <c r="BE42" s="48"/>
      <c r="BF42" s="48"/>
      <c r="BG42" s="48"/>
      <c r="BH42" s="80"/>
      <c r="BI42" s="81"/>
      <c r="BJ42" s="80"/>
      <c r="BK42" s="123"/>
      <c r="BL42" s="128">
        <f>SUM(D42,E42,I42,-K42,-M42,-O42,-AI42,-AK42,-AM42,-AO42,-AQ42,-AU42,-Q42,-S42,-U42,-W42,-Y42,-AA42,-AC42,-AE42,-AG42,-AS42,-AW42,G42,-AY42,-BA42,-BC42,-BE42,-BG42,-BI42,-BK42)</f>
        <v>1410</v>
      </c>
      <c r="BM42" s="82"/>
      <c r="BN42" s="57"/>
      <c r="CH42"/>
      <c r="CL42" s="1"/>
    </row>
    <row r="43" spans="1:90" ht="15" customHeight="1" x14ac:dyDescent="0.45">
      <c r="A43" s="11">
        <v>34</v>
      </c>
      <c r="B43" s="30" t="s">
        <v>95</v>
      </c>
      <c r="C43" s="38" t="s">
        <v>49</v>
      </c>
      <c r="D43" s="138">
        <v>1410</v>
      </c>
      <c r="E43" s="97"/>
      <c r="F43" s="50"/>
      <c r="G43" s="50"/>
      <c r="H43" s="50"/>
      <c r="I43" s="49"/>
      <c r="J43" s="103"/>
      <c r="K43" s="88"/>
      <c r="L43" s="46"/>
      <c r="M43" s="20"/>
      <c r="N43" s="46"/>
      <c r="O43" s="20"/>
      <c r="P43" s="46"/>
      <c r="Q43" s="20"/>
      <c r="R43" s="46"/>
      <c r="S43" s="20"/>
      <c r="T43" s="46"/>
      <c r="U43" s="20"/>
      <c r="V43" s="46"/>
      <c r="W43" s="20"/>
      <c r="X43" s="46"/>
      <c r="Y43" s="20"/>
      <c r="Z43" s="46"/>
      <c r="AA43" s="20"/>
      <c r="AB43" s="46"/>
      <c r="AC43" s="20"/>
      <c r="AD43" s="46"/>
      <c r="AE43" s="20"/>
      <c r="AF43" s="46"/>
      <c r="AG43" s="20"/>
      <c r="AH43" s="46"/>
      <c r="AI43" s="20"/>
      <c r="AJ43" s="46"/>
      <c r="AK43" s="20"/>
      <c r="AL43" s="46"/>
      <c r="AM43" s="20"/>
      <c r="AN43" s="46"/>
      <c r="AO43" s="20"/>
      <c r="AP43" s="46"/>
      <c r="AQ43" s="20"/>
      <c r="AR43" s="46"/>
      <c r="AS43" s="20"/>
      <c r="AT43" s="46"/>
      <c r="AU43" s="20"/>
      <c r="AV43" s="46"/>
      <c r="AW43" s="20"/>
      <c r="AX43" s="46"/>
      <c r="AY43" s="20"/>
      <c r="AZ43" s="46"/>
      <c r="BA43" s="20"/>
      <c r="BB43" s="46"/>
      <c r="BC43" s="20"/>
      <c r="BD43" s="48"/>
      <c r="BE43" s="48"/>
      <c r="BF43" s="48"/>
      <c r="BG43" s="48"/>
      <c r="BH43" s="80"/>
      <c r="BI43" s="81"/>
      <c r="BJ43" s="80"/>
      <c r="BK43" s="123"/>
      <c r="BL43" s="128">
        <f t="shared" ref="BL43" si="3">SUM(D43,E43,I43,-K43,-M43,-O43,-AI43,-AK43,-AM43,-AO43,-AQ43,-AU43,-Q43,-S43,-U43,-W43,-Y43,-AA43,-AC43,-AE43,-AG43,-AS43,-AW43,G43,-AY43,-BA43,-BC43,-BE43,-BG43,-BI43,-BK43)</f>
        <v>1410</v>
      </c>
      <c r="BM43" s="82"/>
      <c r="BN43" s="51"/>
      <c r="CH43"/>
      <c r="CL43" s="1"/>
    </row>
    <row r="44" spans="1:90" ht="18.600000000000001" x14ac:dyDescent="0.45">
      <c r="B44" s="179" t="s">
        <v>108</v>
      </c>
      <c r="C44" s="180"/>
      <c r="D44" s="180"/>
      <c r="E44" s="180"/>
      <c r="F44" s="180"/>
      <c r="G44" s="180"/>
      <c r="H44" s="178"/>
      <c r="I44" s="178"/>
      <c r="J44" s="180"/>
      <c r="K44" s="180"/>
      <c r="L44" s="180"/>
      <c r="M44" s="180"/>
      <c r="N44" s="180"/>
      <c r="O44" s="180"/>
      <c r="P44" s="180"/>
      <c r="Q44" s="180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8"/>
      <c r="AI44" s="178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78"/>
      <c r="AU44" s="178"/>
      <c r="AV44" s="180"/>
      <c r="AW44" s="180"/>
      <c r="AX44" s="178"/>
      <c r="AY44" s="178"/>
      <c r="AZ44" s="178"/>
      <c r="BA44" s="178"/>
      <c r="BB44" s="178"/>
      <c r="BC44" s="178"/>
      <c r="BD44" s="178"/>
      <c r="BE44" s="178"/>
      <c r="BF44" s="178"/>
      <c r="BG44" s="178"/>
      <c r="BH44" s="178"/>
      <c r="BI44" s="178"/>
      <c r="BJ44" s="178"/>
      <c r="BK44" s="178"/>
      <c r="BL44" s="178"/>
      <c r="BM44" s="178"/>
      <c r="BN44" s="178"/>
      <c r="BO44" s="178"/>
      <c r="BP44" s="178"/>
      <c r="BQ44" s="178"/>
      <c r="BR44" s="178"/>
      <c r="BS44" s="178"/>
      <c r="BT44" s="178"/>
      <c r="BU44" s="178"/>
      <c r="BV44" s="178"/>
      <c r="BW44" s="178"/>
      <c r="BX44" s="178"/>
      <c r="BY44" s="178"/>
      <c r="BZ44" s="178"/>
      <c r="CA44" s="178"/>
      <c r="CB44" s="178"/>
      <c r="CC44" s="178"/>
      <c r="CD44" s="178"/>
      <c r="CE44" s="178"/>
      <c r="CF44" s="178"/>
      <c r="CG44" s="178"/>
      <c r="CH44" s="178"/>
    </row>
    <row r="45" spans="1:90" ht="17.399999999999999" x14ac:dyDescent="0.45">
      <c r="A45" s="22">
        <v>35</v>
      </c>
      <c r="B45" s="29" t="s">
        <v>66</v>
      </c>
      <c r="C45" s="31" t="s">
        <v>70</v>
      </c>
      <c r="D45" s="23">
        <v>985</v>
      </c>
      <c r="E45" s="55"/>
      <c r="F45" s="55"/>
      <c r="G45" s="55"/>
      <c r="H45" s="55"/>
      <c r="I45" s="15"/>
      <c r="J45" s="15"/>
      <c r="K45" s="65"/>
      <c r="L45" s="67"/>
      <c r="M45" s="73"/>
      <c r="N45" s="66"/>
      <c r="O45" s="73"/>
      <c r="P45" s="66"/>
      <c r="Q45" s="73"/>
      <c r="R45" s="66"/>
      <c r="S45" s="73"/>
      <c r="T45" s="26"/>
      <c r="U45" s="74"/>
      <c r="V45" s="26"/>
      <c r="W45" s="74"/>
      <c r="X45" s="26"/>
      <c r="Y45" s="74"/>
      <c r="Z45" s="26"/>
      <c r="AA45" s="74"/>
      <c r="AB45" s="26"/>
      <c r="AC45" s="74"/>
      <c r="AD45" s="26"/>
      <c r="AE45" s="74"/>
      <c r="AF45" s="26"/>
      <c r="AG45" s="74"/>
      <c r="AH45" s="26"/>
      <c r="AI45" s="74"/>
      <c r="AJ45" s="26"/>
      <c r="AK45" s="74"/>
      <c r="AL45" s="26"/>
      <c r="AM45" s="74"/>
      <c r="AN45" s="26"/>
      <c r="AO45" s="74"/>
      <c r="AP45" s="26"/>
      <c r="AQ45" s="74"/>
      <c r="AR45" s="26"/>
      <c r="AS45" s="74"/>
      <c r="AT45" s="26"/>
      <c r="AU45" s="74"/>
      <c r="AV45" s="42"/>
      <c r="AW45" s="74"/>
      <c r="AX45" s="42"/>
      <c r="AY45" s="74"/>
      <c r="AZ45" s="63">
        <f>SUM(D45,E45,G45,I45,-K45,-M45,-O45,-Q45,-S45,-U45,-W45,-Y45,-AA45,-AC45,-AE45,-AG45,-AI45,-AK45,-AM45,-AO45,-AQ45,-AS45,-AU45,-AW45)</f>
        <v>985</v>
      </c>
      <c r="BA45" s="82"/>
    </row>
    <row r="46" spans="1:90" ht="17.399999999999999" x14ac:dyDescent="0.45">
      <c r="A46" s="22">
        <v>36</v>
      </c>
      <c r="B46" s="29" t="s">
        <v>67</v>
      </c>
      <c r="C46" s="32" t="s">
        <v>71</v>
      </c>
      <c r="D46" s="23">
        <v>985</v>
      </c>
      <c r="E46" s="55"/>
      <c r="F46" s="55"/>
      <c r="G46" s="55"/>
      <c r="H46" s="55"/>
      <c r="I46" s="15"/>
      <c r="J46" s="15"/>
      <c r="K46" s="65"/>
      <c r="L46" s="67"/>
      <c r="M46" s="73"/>
      <c r="N46" s="66"/>
      <c r="O46" s="73"/>
      <c r="P46" s="66"/>
      <c r="Q46" s="73"/>
      <c r="R46" s="66"/>
      <c r="S46" s="73"/>
      <c r="T46" s="26"/>
      <c r="U46" s="74"/>
      <c r="V46" s="26"/>
      <c r="W46" s="74"/>
      <c r="X46" s="26"/>
      <c r="Y46" s="74"/>
      <c r="Z46" s="26"/>
      <c r="AA46" s="74"/>
      <c r="AB46" s="26"/>
      <c r="AC46" s="74"/>
      <c r="AD46" s="26"/>
      <c r="AE46" s="74"/>
      <c r="AF46" s="26"/>
      <c r="AG46" s="74"/>
      <c r="AH46" s="26"/>
      <c r="AI46" s="74"/>
      <c r="AJ46" s="26"/>
      <c r="AK46" s="74"/>
      <c r="AL46" s="26"/>
      <c r="AM46" s="74"/>
      <c r="AN46" s="26"/>
      <c r="AO46" s="74"/>
      <c r="AP46" s="26"/>
      <c r="AQ46" s="74"/>
      <c r="AR46" s="26"/>
      <c r="AS46" s="74"/>
      <c r="AT46" s="26"/>
      <c r="AU46" s="74"/>
      <c r="AV46" s="42"/>
      <c r="AW46" s="74"/>
      <c r="AX46" s="42"/>
      <c r="AY46" s="74"/>
      <c r="AZ46" s="63">
        <f>SUM(D46,E46,G46,I46,-K46,-M46,-O46,-Q46,-S46,-U46,-W46,-Y46,-AA46,-AC46,-AE46,-AG46,-AI46,-AK46,-AM46,-AO46,-AQ46,-AS46,-AU46,-AW46)</f>
        <v>985</v>
      </c>
      <c r="BA46" s="82"/>
    </row>
    <row r="47" spans="1:90" ht="17.399999999999999" x14ac:dyDescent="0.45">
      <c r="A47" s="22">
        <v>37</v>
      </c>
      <c r="B47" s="29" t="s">
        <v>68</v>
      </c>
      <c r="C47" s="33" t="s">
        <v>72</v>
      </c>
      <c r="D47" s="23">
        <v>985</v>
      </c>
      <c r="E47" s="55"/>
      <c r="F47" s="55"/>
      <c r="G47" s="55"/>
      <c r="H47" s="55"/>
      <c r="I47" s="55"/>
      <c r="J47" s="55"/>
      <c r="K47" s="65"/>
      <c r="L47" s="67"/>
      <c r="M47" s="73"/>
      <c r="N47" s="66"/>
      <c r="O47" s="73"/>
      <c r="P47" s="66"/>
      <c r="Q47" s="73"/>
      <c r="R47" s="66"/>
      <c r="S47" s="73"/>
      <c r="T47" s="26"/>
      <c r="U47" s="74"/>
      <c r="V47" s="26"/>
      <c r="W47" s="74"/>
      <c r="X47" s="26"/>
      <c r="Y47" s="74"/>
      <c r="Z47" s="26"/>
      <c r="AA47" s="74"/>
      <c r="AB47" s="26"/>
      <c r="AC47" s="74"/>
      <c r="AD47" s="26"/>
      <c r="AE47" s="74"/>
      <c r="AF47" s="26"/>
      <c r="AG47" s="74"/>
      <c r="AH47" s="26"/>
      <c r="AI47" s="74"/>
      <c r="AJ47" s="26"/>
      <c r="AK47" s="74"/>
      <c r="AL47" s="26"/>
      <c r="AM47" s="74"/>
      <c r="AN47" s="26"/>
      <c r="AO47" s="74"/>
      <c r="AP47" s="26"/>
      <c r="AQ47" s="74"/>
      <c r="AR47" s="26"/>
      <c r="AS47" s="74"/>
      <c r="AT47" s="26"/>
      <c r="AU47" s="74"/>
      <c r="AV47" s="42"/>
      <c r="AW47" s="74"/>
      <c r="AX47" s="42"/>
      <c r="AY47" s="74"/>
      <c r="AZ47" s="63">
        <f>SUM(D47,E47,G47,I47,-K47,-M47,-O47,-Q47,-S47,-U47,-W47,-Y47,-AA47,-AC47,-AE47,-AG47,-AI47,-AK47,-AM47,-AO47,-AQ47,-AS47,-AU47,-AW47)</f>
        <v>985</v>
      </c>
      <c r="BA47" s="82"/>
    </row>
    <row r="48" spans="1:90" ht="17.399999999999999" x14ac:dyDescent="0.45">
      <c r="A48" s="22">
        <v>38</v>
      </c>
      <c r="B48" s="29" t="s">
        <v>69</v>
      </c>
      <c r="C48" s="34" t="s">
        <v>73</v>
      </c>
      <c r="D48" s="23">
        <v>985</v>
      </c>
      <c r="E48" s="55"/>
      <c r="F48" s="55"/>
      <c r="G48" s="15"/>
      <c r="H48" s="15"/>
      <c r="I48" s="15"/>
      <c r="J48" s="15"/>
      <c r="K48" s="65"/>
      <c r="L48" s="67"/>
      <c r="M48" s="73"/>
      <c r="N48" s="66"/>
      <c r="O48" s="73"/>
      <c r="P48" s="66"/>
      <c r="Q48" s="73"/>
      <c r="R48" s="66"/>
      <c r="S48" s="73"/>
      <c r="T48" s="26"/>
      <c r="U48" s="74"/>
      <c r="V48" s="26"/>
      <c r="W48" s="74"/>
      <c r="X48" s="26"/>
      <c r="Y48" s="74"/>
      <c r="Z48" s="26"/>
      <c r="AA48" s="74"/>
      <c r="AB48" s="26"/>
      <c r="AC48" s="74"/>
      <c r="AD48" s="26"/>
      <c r="AE48" s="74"/>
      <c r="AF48" s="26"/>
      <c r="AG48" s="74"/>
      <c r="AH48" s="26"/>
      <c r="AI48" s="74"/>
      <c r="AJ48" s="26"/>
      <c r="AK48" s="74"/>
      <c r="AL48" s="26"/>
      <c r="AM48" s="74"/>
      <c r="AN48" s="26"/>
      <c r="AO48" s="74"/>
      <c r="AP48" s="26"/>
      <c r="AQ48" s="74"/>
      <c r="AR48" s="26"/>
      <c r="AS48" s="74"/>
      <c r="AT48" s="26"/>
      <c r="AU48" s="74"/>
      <c r="AV48" s="42"/>
      <c r="AW48" s="74"/>
      <c r="AX48" s="42"/>
      <c r="AY48" s="74"/>
      <c r="AZ48" s="63">
        <f>SUM(D48,E48,G48,I48,-K48,-M48,-O48,-Q48,-S48,-U48,-W48,-Y48,-AA48,-AC48,-AE48,-AG48,-AI48,-AK48,-AM48,-AO48,-AQ48,-AS48,-AU48,-AW48)</f>
        <v>985</v>
      </c>
      <c r="BA48" s="82"/>
    </row>
    <row r="49" spans="1:86" ht="18.600000000000001" x14ac:dyDescent="0.45">
      <c r="B49" s="179" t="s">
        <v>109</v>
      </c>
      <c r="C49" s="180"/>
      <c r="D49" s="180"/>
      <c r="E49" s="180"/>
      <c r="F49" s="180"/>
      <c r="G49" s="180"/>
      <c r="H49" s="178"/>
      <c r="I49" s="178"/>
      <c r="J49" s="180"/>
      <c r="K49" s="180"/>
      <c r="L49" s="180"/>
      <c r="M49" s="180"/>
      <c r="N49" s="180"/>
      <c r="O49" s="180"/>
      <c r="P49" s="180"/>
      <c r="Q49" s="180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80"/>
      <c r="AK49" s="180"/>
      <c r="AL49" s="180"/>
      <c r="AM49" s="180"/>
      <c r="AN49" s="180"/>
      <c r="AO49" s="180"/>
      <c r="AP49" s="180"/>
      <c r="AQ49" s="180"/>
      <c r="AR49" s="180"/>
      <c r="AS49" s="180"/>
      <c r="AT49" s="178"/>
      <c r="AU49" s="178"/>
      <c r="AV49" s="180"/>
      <c r="AW49" s="180"/>
      <c r="AX49" s="178"/>
      <c r="AY49" s="178"/>
      <c r="AZ49" s="178"/>
      <c r="BA49" s="178"/>
      <c r="BB49" s="178"/>
      <c r="BC49" s="178"/>
      <c r="BD49" s="178"/>
      <c r="BE49" s="178"/>
      <c r="BF49" s="178"/>
      <c r="BG49" s="178"/>
      <c r="BH49" s="178"/>
      <c r="BI49" s="178"/>
      <c r="BJ49" s="178"/>
      <c r="BK49" s="178"/>
      <c r="BL49" s="178"/>
      <c r="BM49" s="178"/>
      <c r="BN49" s="178"/>
      <c r="BO49" s="178"/>
      <c r="BP49" s="178"/>
      <c r="BQ49" s="178"/>
      <c r="BR49" s="178"/>
      <c r="BS49" s="178"/>
      <c r="BT49" s="178"/>
      <c r="BU49" s="178"/>
      <c r="BV49" s="178"/>
      <c r="BW49" s="178"/>
      <c r="BX49" s="178"/>
      <c r="BY49" s="178"/>
      <c r="BZ49" s="178"/>
      <c r="CA49" s="178"/>
      <c r="CB49" s="178"/>
      <c r="CC49" s="178"/>
      <c r="CD49" s="178"/>
      <c r="CE49" s="178"/>
      <c r="CF49" s="178"/>
      <c r="CG49" s="178"/>
      <c r="CH49" s="178"/>
    </row>
    <row r="50" spans="1:86" ht="17.399999999999999" x14ac:dyDescent="0.45">
      <c r="A50" s="22">
        <v>39</v>
      </c>
      <c r="B50" s="29" t="s">
        <v>100</v>
      </c>
      <c r="C50" s="31" t="s">
        <v>104</v>
      </c>
      <c r="D50" s="23">
        <v>1225</v>
      </c>
      <c r="E50" s="49"/>
      <c r="F50" s="68"/>
      <c r="G50" s="49"/>
      <c r="H50" s="49"/>
      <c r="I50" s="49"/>
      <c r="J50" s="49"/>
      <c r="K50" s="65"/>
      <c r="L50" s="67"/>
      <c r="M50" s="73"/>
      <c r="N50" s="66"/>
      <c r="O50" s="73"/>
      <c r="P50" s="66"/>
      <c r="Q50" s="73"/>
      <c r="R50" s="66"/>
      <c r="S50" s="73"/>
      <c r="T50" s="26"/>
      <c r="U50" s="74"/>
      <c r="V50" s="26"/>
      <c r="W50" s="74"/>
      <c r="X50" s="26"/>
      <c r="Y50" s="74"/>
      <c r="Z50" s="26"/>
      <c r="AA50" s="74"/>
      <c r="AB50" s="26"/>
      <c r="AC50" s="74"/>
      <c r="AD50" s="26"/>
      <c r="AE50" s="74"/>
      <c r="AF50" s="26"/>
      <c r="AG50" s="74"/>
      <c r="AH50" s="26"/>
      <c r="AI50" s="74"/>
      <c r="AJ50" s="26"/>
      <c r="AK50" s="74"/>
      <c r="AL50" s="26"/>
      <c r="AM50" s="74"/>
      <c r="AN50" s="26"/>
      <c r="AO50" s="74"/>
      <c r="AP50" s="26"/>
      <c r="AQ50" s="74"/>
      <c r="AR50" s="26"/>
      <c r="AS50" s="74"/>
      <c r="AT50" s="26"/>
      <c r="AU50" s="74"/>
      <c r="AV50" s="42"/>
      <c r="AW50" s="74"/>
      <c r="AX50" s="42"/>
      <c r="AY50" s="74"/>
      <c r="AZ50" s="63">
        <f>SUM(D50,E50,G50,I50,-K50,-M50,-O50,-Q50,-S50,-U50,-W50,-Y50,-AA50,-AC50,-AE50,-AG50,-AI50,-AK50,-AM50,-AO50,-AQ50,-AS50,-AU50,-AW50)</f>
        <v>1225</v>
      </c>
      <c r="BA50" s="82"/>
    </row>
    <row r="51" spans="1:86" ht="17.399999999999999" x14ac:dyDescent="0.45">
      <c r="A51" s="22">
        <v>40</v>
      </c>
      <c r="B51" s="29" t="s">
        <v>101</v>
      </c>
      <c r="C51" s="32" t="s">
        <v>105</v>
      </c>
      <c r="D51" s="23">
        <v>1225</v>
      </c>
      <c r="E51" s="49"/>
      <c r="F51" s="49"/>
      <c r="G51" s="49"/>
      <c r="H51" s="49"/>
      <c r="I51" s="49"/>
      <c r="J51" s="49"/>
      <c r="K51" s="65"/>
      <c r="L51" s="67"/>
      <c r="M51" s="73"/>
      <c r="N51" s="66"/>
      <c r="O51" s="73"/>
      <c r="P51" s="66"/>
      <c r="Q51" s="73"/>
      <c r="R51" s="66"/>
      <c r="S51" s="73"/>
      <c r="T51" s="26"/>
      <c r="U51" s="74"/>
      <c r="V51" s="26"/>
      <c r="W51" s="74"/>
      <c r="X51" s="26"/>
      <c r="Y51" s="74"/>
      <c r="Z51" s="26"/>
      <c r="AA51" s="74"/>
      <c r="AB51" s="26"/>
      <c r="AC51" s="74"/>
      <c r="AD51" s="26"/>
      <c r="AE51" s="74"/>
      <c r="AF51" s="26"/>
      <c r="AG51" s="74"/>
      <c r="AH51" s="26"/>
      <c r="AI51" s="74"/>
      <c r="AJ51" s="26"/>
      <c r="AK51" s="74"/>
      <c r="AL51" s="26"/>
      <c r="AM51" s="74"/>
      <c r="AN51" s="26"/>
      <c r="AO51" s="74"/>
      <c r="AP51" s="26"/>
      <c r="AQ51" s="74"/>
      <c r="AR51" s="26"/>
      <c r="AS51" s="74"/>
      <c r="AT51" s="26"/>
      <c r="AU51" s="74"/>
      <c r="AV51" s="42"/>
      <c r="AW51" s="74"/>
      <c r="AX51" s="42"/>
      <c r="AY51" s="74"/>
      <c r="AZ51" s="63">
        <f>SUM(D51,E51,G51,I51,-K51,-M51,-O51,-Q51,-S51,-U51,-W51,-Y51,-AA51,-AC51,-AE51,-AG51,-AI51,-AK51,-AM51,-AO51,-AQ51,-AS51,-AU51,-AW51)</f>
        <v>1225</v>
      </c>
      <c r="BA51" s="82"/>
    </row>
    <row r="52" spans="1:86" ht="17.399999999999999" x14ac:dyDescent="0.45">
      <c r="A52" s="22">
        <v>41</v>
      </c>
      <c r="B52" s="29" t="s">
        <v>102</v>
      </c>
      <c r="C52" s="33" t="s">
        <v>106</v>
      </c>
      <c r="D52" s="23">
        <v>1225</v>
      </c>
      <c r="E52" s="49"/>
      <c r="F52" s="49"/>
      <c r="G52" s="49"/>
      <c r="H52" s="49"/>
      <c r="I52" s="49"/>
      <c r="J52" s="49"/>
      <c r="K52" s="65"/>
      <c r="L52" s="67"/>
      <c r="M52" s="73"/>
      <c r="N52" s="66"/>
      <c r="O52" s="73"/>
      <c r="P52" s="66"/>
      <c r="Q52" s="73"/>
      <c r="R52" s="66"/>
      <c r="S52" s="73"/>
      <c r="T52" s="26"/>
      <c r="U52" s="74"/>
      <c r="V52" s="26"/>
      <c r="W52" s="74"/>
      <c r="X52" s="26"/>
      <c r="Y52" s="74"/>
      <c r="Z52" s="26"/>
      <c r="AA52" s="74"/>
      <c r="AB52" s="26"/>
      <c r="AC52" s="74"/>
      <c r="AD52" s="26"/>
      <c r="AE52" s="74"/>
      <c r="AF52" s="26"/>
      <c r="AG52" s="74"/>
      <c r="AH52" s="26"/>
      <c r="AI52" s="74"/>
      <c r="AJ52" s="26"/>
      <c r="AK52" s="74"/>
      <c r="AL52" s="26"/>
      <c r="AM52" s="74"/>
      <c r="AN52" s="26"/>
      <c r="AO52" s="74"/>
      <c r="AP52" s="26"/>
      <c r="AQ52" s="74"/>
      <c r="AR52" s="26"/>
      <c r="AS52" s="74"/>
      <c r="AT52" s="26"/>
      <c r="AU52" s="74"/>
      <c r="AV52" s="42"/>
      <c r="AW52" s="74"/>
      <c r="AX52" s="42"/>
      <c r="AY52" s="74"/>
      <c r="AZ52" s="63">
        <f>SUM(D52,E52,G52,I52,-K52,-M52,-O52,-Q52,-S52,-U52,-W52,-Y52,-AA52,-AC52,-AE52,-AG52,-AI52,-AK52,-AM52,-AO52,-AQ52,-AS52,-AU52,-AW52)</f>
        <v>1225</v>
      </c>
      <c r="BA52" s="82"/>
    </row>
    <row r="53" spans="1:86" ht="17.399999999999999" x14ac:dyDescent="0.45">
      <c r="A53" s="22">
        <v>42</v>
      </c>
      <c r="B53" s="29" t="s">
        <v>103</v>
      </c>
      <c r="C53" s="34" t="s">
        <v>107</v>
      </c>
      <c r="D53" s="23">
        <v>1225</v>
      </c>
      <c r="E53" s="49"/>
      <c r="F53" s="49"/>
      <c r="G53" s="49"/>
      <c r="H53" s="49"/>
      <c r="I53" s="49"/>
      <c r="J53" s="49"/>
      <c r="K53" s="65"/>
      <c r="L53" s="67"/>
      <c r="M53" s="73"/>
      <c r="N53" s="66"/>
      <c r="O53" s="73"/>
      <c r="P53" s="66"/>
      <c r="Q53" s="73"/>
      <c r="R53" s="66"/>
      <c r="S53" s="73"/>
      <c r="T53" s="26"/>
      <c r="U53" s="74"/>
      <c r="V53" s="26"/>
      <c r="W53" s="74"/>
      <c r="X53" s="26"/>
      <c r="Y53" s="74"/>
      <c r="Z53" s="26"/>
      <c r="AA53" s="74"/>
      <c r="AB53" s="26"/>
      <c r="AC53" s="74"/>
      <c r="AD53" s="26"/>
      <c r="AE53" s="74"/>
      <c r="AF53" s="26"/>
      <c r="AG53" s="74"/>
      <c r="AH53" s="26"/>
      <c r="AI53" s="74"/>
      <c r="AJ53" s="26"/>
      <c r="AK53" s="74"/>
      <c r="AL53" s="26"/>
      <c r="AM53" s="74"/>
      <c r="AN53" s="26"/>
      <c r="AO53" s="74"/>
      <c r="AP53" s="26"/>
      <c r="AQ53" s="74"/>
      <c r="AR53" s="26"/>
      <c r="AS53" s="74"/>
      <c r="AT53" s="26"/>
      <c r="AU53" s="74"/>
      <c r="AV53" s="42"/>
      <c r="AW53" s="74"/>
      <c r="AX53" s="42"/>
      <c r="AY53" s="74"/>
      <c r="AZ53" s="63">
        <f>SUM(D53,E53,G53,I53,-K53,-M53,-O53,-Q53,-S53,-U53,-W53,-Y53,-AA53,-AC53,-AE53,-AG53,-AI53,-AK53,-AM53,-AO53,-AQ53,-AS53,-AU53,-AW53)</f>
        <v>1225</v>
      </c>
      <c r="BA53" s="82"/>
    </row>
    <row r="54" spans="1:86" ht="18.600000000000001" x14ac:dyDescent="0.45">
      <c r="B54" s="179" t="s">
        <v>76</v>
      </c>
      <c r="C54" s="180"/>
      <c r="D54" s="180"/>
      <c r="E54" s="180"/>
      <c r="F54" s="180"/>
      <c r="G54" s="180"/>
      <c r="H54" s="178"/>
      <c r="I54" s="178"/>
      <c r="J54" s="180"/>
      <c r="K54" s="180"/>
      <c r="L54" s="180"/>
      <c r="M54" s="180"/>
      <c r="N54" s="180"/>
      <c r="O54" s="180"/>
      <c r="P54" s="180"/>
      <c r="Q54" s="180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80"/>
      <c r="AK54" s="180"/>
      <c r="AL54" s="180"/>
      <c r="AM54" s="180"/>
      <c r="AN54" s="180"/>
      <c r="AO54" s="180"/>
      <c r="AP54" s="180"/>
      <c r="AQ54" s="180"/>
      <c r="AR54" s="180"/>
      <c r="AS54" s="180"/>
      <c r="AT54" s="178"/>
      <c r="AU54" s="178"/>
      <c r="AV54" s="180"/>
      <c r="AW54" s="180"/>
      <c r="AX54" s="178"/>
      <c r="AY54" s="178"/>
      <c r="AZ54" s="178"/>
      <c r="BA54" s="178"/>
      <c r="BB54" s="178"/>
      <c r="BC54" s="178"/>
      <c r="BD54" s="178"/>
      <c r="BE54" s="178"/>
      <c r="BF54" s="178"/>
      <c r="BG54" s="178"/>
      <c r="BH54" s="178"/>
      <c r="BI54" s="178"/>
      <c r="BJ54" s="178"/>
      <c r="BK54" s="178"/>
      <c r="BL54" s="178"/>
      <c r="BM54" s="178"/>
      <c r="BN54" s="178"/>
      <c r="BO54" s="178"/>
      <c r="BP54" s="178"/>
      <c r="BQ54" s="178"/>
      <c r="BR54" s="178"/>
      <c r="BS54" s="178"/>
      <c r="BT54" s="178"/>
      <c r="BU54" s="178"/>
      <c r="BV54" s="178"/>
      <c r="BW54" s="178"/>
      <c r="BX54" s="178"/>
      <c r="BY54" s="178"/>
      <c r="BZ54" s="178"/>
      <c r="CA54" s="178"/>
      <c r="CB54" s="178"/>
      <c r="CC54" s="178"/>
      <c r="CD54" s="178"/>
      <c r="CE54" s="178"/>
      <c r="CF54" s="178"/>
      <c r="CG54" s="178"/>
      <c r="CH54" s="178"/>
    </row>
    <row r="55" spans="1:86" ht="17.399999999999999" x14ac:dyDescent="0.45">
      <c r="A55" s="22">
        <v>43</v>
      </c>
      <c r="B55" s="29" t="s">
        <v>96</v>
      </c>
      <c r="C55" s="31" t="s">
        <v>77</v>
      </c>
      <c r="D55" s="23">
        <v>988</v>
      </c>
      <c r="E55" s="49"/>
      <c r="F55" s="50"/>
      <c r="G55" s="49"/>
      <c r="H55" s="49"/>
      <c r="I55" s="49"/>
      <c r="J55" s="49"/>
      <c r="K55" s="65"/>
      <c r="L55" s="66"/>
      <c r="M55" s="73"/>
      <c r="N55" s="66"/>
      <c r="O55" s="73"/>
      <c r="P55" s="66"/>
      <c r="Q55" s="73"/>
      <c r="R55" s="66"/>
      <c r="S55" s="73"/>
      <c r="T55" s="66"/>
      <c r="U55" s="73"/>
      <c r="V55" s="66"/>
      <c r="W55" s="73"/>
      <c r="X55" s="66"/>
      <c r="Y55" s="73"/>
      <c r="Z55" s="66"/>
      <c r="AA55" s="73"/>
      <c r="AB55" s="66"/>
      <c r="AC55" s="73"/>
      <c r="AD55" s="66"/>
      <c r="AE55" s="73"/>
      <c r="AF55" s="66"/>
      <c r="AG55" s="73"/>
      <c r="AH55" s="66"/>
      <c r="AI55" s="73"/>
      <c r="AJ55" s="66"/>
      <c r="AK55" s="73"/>
      <c r="AL55" s="66"/>
      <c r="AM55" s="73"/>
      <c r="AN55" s="66"/>
      <c r="AO55" s="73"/>
      <c r="AP55" s="66"/>
      <c r="AQ55" s="73"/>
      <c r="AR55" s="66"/>
      <c r="AS55" s="73"/>
      <c r="AT55" s="66"/>
      <c r="AU55" s="73"/>
      <c r="AV55" s="72"/>
      <c r="AW55" s="73"/>
      <c r="AX55" s="72"/>
      <c r="AY55" s="73"/>
      <c r="AZ55" s="63">
        <f>SUM(D55,E55,G55,I55,-K55,-M55,-O55,-Q55,-S55,-U55,-W55,-Y55,-AA55,-AC55,-AE55,-AG55,-AI55,-AK55,-AM55,-AO55,-AQ55,-AS55,-AU55,-AW55)</f>
        <v>988</v>
      </c>
      <c r="BA55" s="82"/>
    </row>
    <row r="56" spans="1:86" ht="17.399999999999999" x14ac:dyDescent="0.45">
      <c r="A56" s="22">
        <v>44</v>
      </c>
      <c r="B56" s="29" t="s">
        <v>97</v>
      </c>
      <c r="C56" s="32" t="s">
        <v>78</v>
      </c>
      <c r="D56" s="23">
        <v>988</v>
      </c>
      <c r="E56" s="49"/>
      <c r="F56" s="50"/>
      <c r="G56" s="49"/>
      <c r="H56" s="49"/>
      <c r="I56" s="49"/>
      <c r="J56" s="49"/>
      <c r="K56" s="65"/>
      <c r="L56" s="66"/>
      <c r="M56" s="73"/>
      <c r="N56" s="66"/>
      <c r="O56" s="73"/>
      <c r="P56" s="66"/>
      <c r="Q56" s="73"/>
      <c r="R56" s="66"/>
      <c r="S56" s="73"/>
      <c r="T56" s="66"/>
      <c r="U56" s="73"/>
      <c r="V56" s="66"/>
      <c r="W56" s="73"/>
      <c r="X56" s="66"/>
      <c r="Y56" s="73"/>
      <c r="Z56" s="66"/>
      <c r="AA56" s="73"/>
      <c r="AB56" s="66"/>
      <c r="AC56" s="73"/>
      <c r="AD56" s="66"/>
      <c r="AE56" s="73"/>
      <c r="AF56" s="66"/>
      <c r="AG56" s="73"/>
      <c r="AH56" s="66"/>
      <c r="AI56" s="73"/>
      <c r="AJ56" s="66"/>
      <c r="AK56" s="73"/>
      <c r="AL56" s="66"/>
      <c r="AM56" s="73"/>
      <c r="AN56" s="66"/>
      <c r="AO56" s="73"/>
      <c r="AP56" s="66"/>
      <c r="AQ56" s="73"/>
      <c r="AR56" s="66"/>
      <c r="AS56" s="73"/>
      <c r="AT56" s="66"/>
      <c r="AU56" s="73"/>
      <c r="AV56" s="72"/>
      <c r="AW56" s="73"/>
      <c r="AX56" s="72"/>
      <c r="AY56" s="73"/>
      <c r="AZ56" s="63">
        <f>SUM(D56,E56,G56,I56,-K56,-M56,-O56,-Q56,-S56,-U56,-W56,-Y56,-AA56,-AC56,-AE56,-AG56,-AI56,-AK56,-AM56,-AO56,-AQ56,-AS56,-AU56,-AW56)</f>
        <v>988</v>
      </c>
      <c r="BA56" s="82"/>
    </row>
    <row r="57" spans="1:86" ht="17.399999999999999" x14ac:dyDescent="0.45">
      <c r="A57" s="22">
        <v>45</v>
      </c>
      <c r="B57" s="29" t="s">
        <v>98</v>
      </c>
      <c r="C57" s="33" t="s">
        <v>79</v>
      </c>
      <c r="D57" s="23">
        <v>988</v>
      </c>
      <c r="E57" s="49"/>
      <c r="F57" s="50"/>
      <c r="G57" s="49"/>
      <c r="H57" s="49"/>
      <c r="I57" s="49"/>
      <c r="J57" s="49"/>
      <c r="K57" s="65"/>
      <c r="L57" s="66"/>
      <c r="M57" s="73"/>
      <c r="N57" s="66"/>
      <c r="O57" s="73"/>
      <c r="P57" s="66"/>
      <c r="Q57" s="73"/>
      <c r="R57" s="66"/>
      <c r="S57" s="73"/>
      <c r="T57" s="66"/>
      <c r="U57" s="73"/>
      <c r="V57" s="66"/>
      <c r="W57" s="73"/>
      <c r="X57" s="66"/>
      <c r="Y57" s="73"/>
      <c r="Z57" s="66"/>
      <c r="AA57" s="73"/>
      <c r="AB57" s="66"/>
      <c r="AC57" s="73"/>
      <c r="AD57" s="66"/>
      <c r="AE57" s="73"/>
      <c r="AF57" s="66"/>
      <c r="AG57" s="73"/>
      <c r="AH57" s="66"/>
      <c r="AI57" s="73"/>
      <c r="AJ57" s="66"/>
      <c r="AK57" s="73"/>
      <c r="AL57" s="66"/>
      <c r="AM57" s="73"/>
      <c r="AN57" s="66"/>
      <c r="AO57" s="73"/>
      <c r="AP57" s="66"/>
      <c r="AQ57" s="73"/>
      <c r="AR57" s="66"/>
      <c r="AS57" s="73"/>
      <c r="AT57" s="66"/>
      <c r="AU57" s="73"/>
      <c r="AV57" s="72"/>
      <c r="AW57" s="73"/>
      <c r="AX57" s="72"/>
      <c r="AY57" s="73"/>
      <c r="AZ57" s="63">
        <f>SUM(D57,E57,G57,I57,-K57,-M57,-O57,-Q57,-S57,-U57,-W57,-Y57,-AA57,-AC57,-AE57,-AG57,-AI57,-AK57,-AM57,-AO57,-AQ57,-AS57,-AU57,-AW57)</f>
        <v>988</v>
      </c>
      <c r="BA57" s="82"/>
    </row>
    <row r="58" spans="1:86" ht="17.399999999999999" x14ac:dyDescent="0.45">
      <c r="A58" s="22">
        <v>46</v>
      </c>
      <c r="B58" s="29" t="s">
        <v>99</v>
      </c>
      <c r="C58" s="34" t="s">
        <v>80</v>
      </c>
      <c r="D58" s="23">
        <v>988</v>
      </c>
      <c r="E58" s="49"/>
      <c r="F58" s="50"/>
      <c r="G58" s="49"/>
      <c r="H58" s="49"/>
      <c r="I58" s="49"/>
      <c r="J58" s="49"/>
      <c r="K58" s="65"/>
      <c r="L58" s="66"/>
      <c r="M58" s="73"/>
      <c r="N58" s="66"/>
      <c r="O58" s="73"/>
      <c r="P58" s="66"/>
      <c r="Q58" s="73"/>
      <c r="R58" s="66"/>
      <c r="S58" s="73"/>
      <c r="T58" s="66"/>
      <c r="U58" s="73"/>
      <c r="V58" s="66"/>
      <c r="W58" s="73"/>
      <c r="X58" s="66"/>
      <c r="Y58" s="73"/>
      <c r="Z58" s="66"/>
      <c r="AA58" s="73"/>
      <c r="AB58" s="66"/>
      <c r="AC58" s="73"/>
      <c r="AD58" s="66"/>
      <c r="AE58" s="73"/>
      <c r="AF58" s="66"/>
      <c r="AG58" s="73"/>
      <c r="AH58" s="66"/>
      <c r="AI58" s="73"/>
      <c r="AJ58" s="66"/>
      <c r="AK58" s="73"/>
      <c r="AL58" s="66"/>
      <c r="AM58" s="73"/>
      <c r="AN58" s="66"/>
      <c r="AO58" s="73"/>
      <c r="AP58" s="66"/>
      <c r="AQ58" s="73"/>
      <c r="AR58" s="66"/>
      <c r="AS58" s="73"/>
      <c r="AT58" s="66"/>
      <c r="AU58" s="73"/>
      <c r="AV58" s="72"/>
      <c r="AW58" s="73"/>
      <c r="AX58" s="72"/>
      <c r="AY58" s="73"/>
      <c r="AZ58" s="63">
        <f>SUM(D58,E58,G58,I58,-K58,-M58,-O58,-Q58,-S58,-U58,-W58,-Y58,-AA58,-AC58,-AE58,-AG58,-AI58,-AK58,-AM58,-AO58,-AQ58,-AS58,-AU58,-AW58)</f>
        <v>988</v>
      </c>
      <c r="BA58" s="82"/>
    </row>
  </sheetData>
  <mergeCells count="11">
    <mergeCell ref="B54:CH54"/>
    <mergeCell ref="B49:CH49"/>
    <mergeCell ref="A2:CG2"/>
    <mergeCell ref="A7:CG7"/>
    <mergeCell ref="A12:CG12"/>
    <mergeCell ref="B44:CH44"/>
    <mergeCell ref="A39:CG39"/>
    <mergeCell ref="A19:CG19"/>
    <mergeCell ref="A24:CG24"/>
    <mergeCell ref="A29:CG29"/>
    <mergeCell ref="A34:CG34"/>
  </mergeCells>
  <pageMargins left="0.25" right="0.25" top="0.75" bottom="0.75" header="0.3" footer="0.3"/>
  <pageSetup paperSize="155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teklemariam</dc:creator>
  <cp:lastModifiedBy>Tekle Laeke</cp:lastModifiedBy>
  <cp:lastPrinted>2026-05-20T11:11:43Z</cp:lastPrinted>
  <dcterms:created xsi:type="dcterms:W3CDTF">2022-04-19T09:39:05Z</dcterms:created>
  <dcterms:modified xsi:type="dcterms:W3CDTF">2026-06-13T20:34:59Z</dcterms:modified>
</cp:coreProperties>
</file>